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913" activeTab="2"/>
  </bookViews>
  <sheets>
    <sheet name="Version" sheetId="84" r:id="rId1"/>
    <sheet name="Sequence" sheetId="112" r:id="rId2"/>
    <sheet name="Exposure" sheetId="115" r:id="rId3"/>
    <sheet name="Global Setting" sheetId="110" r:id="rId4"/>
    <sheet name="Mode Setting 2Lane" sheetId="111" r:id="rId5"/>
    <sheet name="Mode Setting 1Lane" sheetId="113" r:id="rId6"/>
    <sheet name="TPG" sheetId="114" r:id="rId7"/>
  </sheets>
  <definedNames>
    <definedName name="_xlnm._FilterDatabase" localSheetId="3" hidden="1">'Global Setting'!$C$11:$I$189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<sst xmlns="http://schemas.openxmlformats.org/spreadsheetml/2006/main" count="3607" uniqueCount="1190">
  <si>
    <t>Version</t>
  </si>
  <si>
    <t>Date</t>
  </si>
  <si>
    <t>Description</t>
  </si>
  <si>
    <t>Author</t>
  </si>
  <si>
    <t>v1.0.0</t>
  </si>
  <si>
    <t>初版</t>
  </si>
  <si>
    <t>v1.0.1</t>
  </si>
  <si>
    <t>1、更新模拟配置
2、新增TPG配置</t>
  </si>
  <si>
    <t>v1.0.2</t>
  </si>
  <si>
    <t>1、更新模拟配置</t>
  </si>
  <si>
    <t>1、更新曝光计算</t>
  </si>
  <si>
    <t>Initial sequence</t>
  </si>
  <si>
    <t>Action</t>
  </si>
  <si>
    <t>Comment</t>
  </si>
  <si>
    <t>Address</t>
  </si>
  <si>
    <t>Data</t>
  </si>
  <si>
    <t>0x0000</t>
  </si>
  <si>
    <t>0x05</t>
  </si>
  <si>
    <t>For Sensor check, CHIP_ID high 8 bits</t>
  </si>
  <si>
    <t>0x0001</t>
  </si>
  <si>
    <t>0x10</t>
  </si>
  <si>
    <t>For Sensor check, CHIP_ID low 8 bits</t>
  </si>
  <si>
    <t>Global Setting</t>
  </si>
  <si>
    <t>Apply to Global setting</t>
  </si>
  <si>
    <t>Mode setting</t>
  </si>
  <si>
    <t>Apply to Mode setting</t>
  </si>
  <si>
    <t xml:space="preserve">Streaming on </t>
  </si>
  <si>
    <t>Start stream</t>
  </si>
  <si>
    <t>Streaming on sequence</t>
  </si>
  <si>
    <t>0x062d</t>
  </si>
  <si>
    <t>0x17</t>
  </si>
  <si>
    <t>Transmit on</t>
  </si>
  <si>
    <t>Delay 1ms</t>
  </si>
  <si>
    <t>Delay time</t>
  </si>
  <si>
    <t>0x0500</t>
  </si>
  <si>
    <t>0x01</t>
  </si>
  <si>
    <t>Streaming on</t>
  </si>
  <si>
    <t>Streaming off sequence</t>
  </si>
  <si>
    <t>0x00</t>
  </si>
  <si>
    <t>Streaming off</t>
  </si>
  <si>
    <t>Transmit off</t>
  </si>
  <si>
    <t>Shutter set sequence</t>
  </si>
  <si>
    <t>0x0507</t>
  </si>
  <si>
    <t>Group holder on</t>
  </si>
  <si>
    <t>0x0508</t>
  </si>
  <si>
    <t>fl_val_l</t>
  </si>
  <si>
    <t>Frame length low 8 bits, set if need</t>
  </si>
  <si>
    <t>0x0509</t>
  </si>
  <si>
    <t>fl_val_h</t>
  </si>
  <si>
    <t>Frame length high 8 bits, set if need</t>
  </si>
  <si>
    <t>0x050c</t>
  </si>
  <si>
    <t>sh_l</t>
  </si>
  <si>
    <t>Shutter low 8 bits</t>
  </si>
  <si>
    <t>0x050d</t>
  </si>
  <si>
    <t>sh_h</t>
  </si>
  <si>
    <t>Shutter high 8 bits</t>
  </si>
  <si>
    <t>Group holder release</t>
  </si>
  <si>
    <t>Gain set sequence</t>
  </si>
  <si>
    <t>0x030b</t>
  </si>
  <si>
    <t>gain_val0</t>
  </si>
  <si>
    <t>Gain value set, please ref to datasheet</t>
  </si>
  <si>
    <t>Mode change sequence Preview --&gt; Capture</t>
  </si>
  <si>
    <t>Stop stream</t>
  </si>
  <si>
    <t>Full size setting</t>
  </si>
  <si>
    <t>Apply to Capture mode setting</t>
  </si>
  <si>
    <t>Mode change sequence  Capture --&gt; Preview</t>
  </si>
  <si>
    <t>Preview Setting</t>
  </si>
  <si>
    <t>Apply to Preview mode setting</t>
  </si>
  <si>
    <t xml:space="preserve">OTP user page read sequence </t>
  </si>
  <si>
    <t>0x0c00</t>
  </si>
  <si>
    <t>Enable otp</t>
  </si>
  <si>
    <t>0x0c13</t>
  </si>
  <si>
    <t>addr_h</t>
  </si>
  <si>
    <t>OTP addr high 5bit  which want to read</t>
  </si>
  <si>
    <t>0x0c14</t>
  </si>
  <si>
    <t>addr_l</t>
  </si>
  <si>
    <t>OTP addr low 8bit  which want to read</t>
  </si>
  <si>
    <t>0x0c16</t>
  </si>
  <si>
    <t>0x70</t>
  </si>
  <si>
    <t>Set otp read mode</t>
  </si>
  <si>
    <t>0x0c1a</t>
  </si>
  <si>
    <t>Query（read） status until match this value</t>
  </si>
  <si>
    <t>read_addr</t>
  </si>
  <si>
    <t>buf</t>
  </si>
  <si>
    <t>read_addr = OTP addr, support continous read,
buf len if 0 to 6143 bytes</t>
  </si>
  <si>
    <t>0x0c17</t>
  </si>
  <si>
    <t>Exist otp working status</t>
  </si>
  <si>
    <t>Disable otp</t>
  </si>
  <si>
    <t>TPG bayer order</t>
  </si>
  <si>
    <t>0x09f6</t>
  </si>
  <si>
    <t>0x02</t>
  </si>
  <si>
    <r>
      <rPr>
        <sz val="11"/>
        <rFont val="ＭＳ Ｐゴシック"/>
        <charset val="134"/>
      </rPr>
      <t>The bayer pattern order：
0:RG/GB
1:GR/BG
2:GB/RG
3:BG/GR
注：TPG</t>
    </r>
    <r>
      <rPr>
        <sz val="11"/>
        <rFont val="宋体"/>
        <charset val="134"/>
      </rPr>
      <t>输</t>
    </r>
    <r>
      <rPr>
        <sz val="11"/>
        <rFont val="ＭＳ Ｐゴシック"/>
        <charset val="134"/>
      </rPr>
      <t>出的Bayer pattern需与正常出</t>
    </r>
    <r>
      <rPr>
        <sz val="11"/>
        <rFont val="宋体"/>
        <charset val="134"/>
      </rPr>
      <t>图</t>
    </r>
    <r>
      <rPr>
        <sz val="11"/>
        <rFont val="ＭＳ Ｐゴシック"/>
        <charset val="134"/>
      </rPr>
      <t>保持一致，Flip操作不会影</t>
    </r>
    <r>
      <rPr>
        <sz val="11"/>
        <rFont val="宋体"/>
        <charset val="134"/>
      </rPr>
      <t>响</t>
    </r>
    <r>
      <rPr>
        <sz val="11"/>
        <rFont val="ＭＳ Ｐゴシック"/>
        <charset val="134"/>
      </rPr>
      <t>TPG</t>
    </r>
    <r>
      <rPr>
        <sz val="11"/>
        <rFont val="宋体"/>
        <charset val="134"/>
      </rPr>
      <t>输</t>
    </r>
    <r>
      <rPr>
        <sz val="11"/>
        <rFont val="ＭＳ Ｐゴシック"/>
        <charset val="134"/>
      </rPr>
      <t>出的Bayer pattern，Mirror操作会影</t>
    </r>
    <r>
      <rPr>
        <sz val="11"/>
        <rFont val="宋体"/>
        <charset val="134"/>
      </rPr>
      <t>响</t>
    </r>
    <r>
      <rPr>
        <sz val="11"/>
        <rFont val="ＭＳ Ｐゴシック"/>
        <charset val="134"/>
      </rPr>
      <t>。</t>
    </r>
  </si>
  <si>
    <t>System Info</t>
  </si>
  <si>
    <t>SCLK (MHZ)</t>
  </si>
  <si>
    <t>current HTS(R050B/050A)</t>
  </si>
  <si>
    <t>current VTS(R0509/0508)</t>
  </si>
  <si>
    <t>5b2</t>
  </si>
  <si>
    <t>7ee</t>
  </si>
  <si>
    <t>Input</t>
  </si>
  <si>
    <t>expect exposure (ms)</t>
  </si>
  <si>
    <t>AGain</t>
  </si>
  <si>
    <t>AGain Check</t>
  </si>
  <si>
    <t>1.125~16</t>
  </si>
  <si>
    <t>Output</t>
  </si>
  <si>
    <t>max exposure time can be achieved with current SCLK (sec)</t>
  </si>
  <si>
    <t>Tline (us)</t>
  </si>
  <si>
    <t>New HTS(R050B/050A)</t>
  </si>
  <si>
    <t>New VTS(R0509/0508)</t>
  </si>
  <si>
    <t>Exposure (050D/050C)</t>
  </si>
  <si>
    <t>exposure (ms)</t>
  </si>
  <si>
    <t>Max Exposure = VTS-6</t>
  </si>
  <si>
    <t>Min Exposure = 2</t>
  </si>
  <si>
    <t>AGain (R030B)</t>
  </si>
  <si>
    <t xml:space="preserve">AGain </t>
  </si>
  <si>
    <t>FPS</t>
  </si>
  <si>
    <t>Sensor/Address Bits/Data Bits</t>
  </si>
  <si>
    <t>MT510/16/8</t>
  </si>
  <si>
    <t>Summary</t>
  </si>
  <si>
    <t>2lane_24MCLK_888Mipi</t>
  </si>
  <si>
    <t>1lane_24MCLK_888Mipi</t>
  </si>
  <si>
    <t>INCLK</t>
  </si>
  <si>
    <t>MHz</t>
  </si>
  <si>
    <t>Lane</t>
  </si>
  <si>
    <t>MIPI CLK</t>
  </si>
  <si>
    <t>Mbps/lane</t>
  </si>
  <si>
    <t>Function</t>
  </si>
  <si>
    <t>Register</t>
  </si>
  <si>
    <t>Full Address</t>
  </si>
  <si>
    <t>Default</t>
  </si>
  <si>
    <t>Data(Hex)</t>
  </si>
  <si>
    <t>Data(Dec)</t>
  </si>
  <si>
    <t>Comments</t>
  </si>
  <si>
    <t>#Global Setting</t>
  </si>
  <si>
    <t>REG_SYS_ANA_WR00</t>
  </si>
  <si>
    <t>0x0d00</t>
  </si>
  <si>
    <t>0x0f</t>
  </si>
  <si>
    <t>REG_SYS_ANA_WR01</t>
  </si>
  <si>
    <t>0x0d01</t>
  </si>
  <si>
    <t>0x3f</t>
  </si>
  <si>
    <t>REG_SYS_ANA_WR02</t>
  </si>
  <si>
    <t>0x0d02</t>
  </si>
  <si>
    <t>0x82</t>
  </si>
  <si>
    <t>REG_SYS_ANA_WR03</t>
  </si>
  <si>
    <t>0x0d03</t>
  </si>
  <si>
    <t>0x12</t>
  </si>
  <si>
    <t>0x32</t>
  </si>
  <si>
    <t>REG_SYS_ANA_WR04</t>
  </si>
  <si>
    <t>0x0d04</t>
  </si>
  <si>
    <t>0x08</t>
  </si>
  <si>
    <t>0x18</t>
  </si>
  <si>
    <t>REG_SYS_ANA_WR05</t>
  </si>
  <si>
    <t>0x0d05</t>
  </si>
  <si>
    <t>0x44</t>
  </si>
  <si>
    <t>0x4c</t>
  </si>
  <si>
    <t>REG_SYS_ANA_WR06</t>
  </si>
  <si>
    <t>0x0d06</t>
  </si>
  <si>
    <t>0x09</t>
  </si>
  <si>
    <t>REG_SYS_ANA_WR07</t>
  </si>
  <si>
    <t>0x0d07</t>
  </si>
  <si>
    <t>REG_SYS_ANA_WR08</t>
  </si>
  <si>
    <t>0x0d08</t>
  </si>
  <si>
    <t>0x04</t>
  </si>
  <si>
    <t>REG_SYS_ANA_WR09</t>
  </si>
  <si>
    <t>0x0d09</t>
  </si>
  <si>
    <t>REG_SYS_ANA_WR10</t>
  </si>
  <si>
    <t>0x0d10</t>
  </si>
  <si>
    <t>0x22</t>
  </si>
  <si>
    <t>REG_SYS_ANA_WR11</t>
  </si>
  <si>
    <t>0x0d11</t>
  </si>
  <si>
    <t>0x2e</t>
  </si>
  <si>
    <t>0x2c</t>
  </si>
  <si>
    <t xml:space="preserve">PLL_INT </t>
  </si>
  <si>
    <t>0x0d12</t>
  </si>
  <si>
    <t>0x28</t>
  </si>
  <si>
    <t>0x25</t>
  </si>
  <si>
    <t>REG_CLK_SEL</t>
  </si>
  <si>
    <t>0x0d13</t>
  </si>
  <si>
    <t>REG_SYS_ANA_WR14</t>
  </si>
  <si>
    <t>0x0d14</t>
  </si>
  <si>
    <t>0x11</t>
  </si>
  <si>
    <t>REG_SYS_ANA_WR15</t>
  </si>
  <si>
    <t>0x0d15</t>
  </si>
  <si>
    <t xml:space="preserve">REG_SCU_ISP_CLK_CFG </t>
  </si>
  <si>
    <t>0x0008</t>
  </si>
  <si>
    <t>REG_CLK_ICG</t>
  </si>
  <si>
    <t>0x0009</t>
  </si>
  <si>
    <t>REG_CFGVERSION</t>
  </si>
  <si>
    <t>0x0014</t>
  </si>
  <si>
    <t>0xc0</t>
  </si>
  <si>
    <t>0x42</t>
  </si>
  <si>
    <t>REG_FLIP</t>
  </si>
  <si>
    <t>0x0502</t>
  </si>
  <si>
    <t>SYS_CFG_WR25</t>
  </si>
  <si>
    <t>0x0523</t>
  </si>
  <si>
    <t>SYS_CFG_WR27</t>
  </si>
  <si>
    <t>0x0525</t>
  </si>
  <si>
    <t>0x40</t>
  </si>
  <si>
    <t>SYS_CFG_WR28</t>
  </si>
  <si>
    <t>0x0528</t>
  </si>
  <si>
    <t>SYS_CFG_WR29</t>
  </si>
  <si>
    <t>0x0529</t>
  </si>
  <si>
    <t>SYS_CFG_WR30</t>
  </si>
  <si>
    <t>0x052a</t>
  </si>
  <si>
    <t>0xe4</t>
  </si>
  <si>
    <t>SYS_CFG_WR56</t>
  </si>
  <si>
    <t>0x0544</t>
  </si>
  <si>
    <t>SYS_CFG_WR57</t>
  </si>
  <si>
    <t>0x0545</t>
  </si>
  <si>
    <t>SYS_CFG_WR58</t>
  </si>
  <si>
    <t>0x0550</t>
  </si>
  <si>
    <t>REG_SYS_ANA_WR21</t>
  </si>
  <si>
    <t>0x0301</t>
  </si>
  <si>
    <t>REG_SYS_ANA_WR22</t>
  </si>
  <si>
    <t>0x0302</t>
  </si>
  <si>
    <t>REG_SYS_ANA_WR23</t>
  </si>
  <si>
    <t>0x0303</t>
  </si>
  <si>
    <t>0xbc</t>
  </si>
  <si>
    <t>0xe8</t>
  </si>
  <si>
    <t>REG_SYS_ANA_WR24</t>
  </si>
  <si>
    <t>0x0304</t>
  </si>
  <si>
    <t>0x03</t>
  </si>
  <si>
    <t>REG_SYS_ANA_WR26</t>
  </si>
  <si>
    <t>0x0306</t>
  </si>
  <si>
    <t>REG_SYS_ANA_WR27</t>
  </si>
  <si>
    <t>0x0307</t>
  </si>
  <si>
    <t>0x30</t>
  </si>
  <si>
    <t>REG_SYS_ANA_WR28</t>
  </si>
  <si>
    <t>0x0308</t>
  </si>
  <si>
    <t>REG_SYS_ANA_WR30</t>
  </si>
  <si>
    <t>0x030a</t>
  </si>
  <si>
    <t>REG_SYS_ANA_WR31</t>
  </si>
  <si>
    <t>0x030c</t>
  </si>
  <si>
    <t>SYS_CFG_WR26</t>
  </si>
  <si>
    <t>0x0524</t>
  </si>
  <si>
    <t>0x07</t>
  </si>
  <si>
    <t>SYS_CFG_WR18</t>
  </si>
  <si>
    <t>0x051c</t>
  </si>
  <si>
    <t>SYS_CFG_WR19</t>
  </si>
  <si>
    <t>0x051d</t>
  </si>
  <si>
    <t>SYS_CFG_WR20</t>
  </si>
  <si>
    <t>0x051e</t>
  </si>
  <si>
    <t>SYS_CFG_WR21</t>
  </si>
  <si>
    <t>0x051f</t>
  </si>
  <si>
    <t>SYS_CFG_WR22</t>
  </si>
  <si>
    <t>0x0520</t>
  </si>
  <si>
    <t>SYS_CFG_WR23</t>
  </si>
  <si>
    <t>0x0521</t>
  </si>
  <si>
    <t>SYS_CFG_WR24</t>
  </si>
  <si>
    <t>0x0522</t>
  </si>
  <si>
    <t>SYS_CFG_WR31</t>
  </si>
  <si>
    <t>0x052b</t>
  </si>
  <si>
    <t>SYS_CFG_WR32</t>
  </si>
  <si>
    <t>0x052c</t>
  </si>
  <si>
    <t>0x31</t>
  </si>
  <si>
    <t>SYS_CFG_WR33</t>
  </si>
  <si>
    <t>0x052d</t>
  </si>
  <si>
    <t>SYS_CFG_WR34</t>
  </si>
  <si>
    <t>0x052e</t>
  </si>
  <si>
    <t>0x92</t>
  </si>
  <si>
    <t>0x7d</t>
  </si>
  <si>
    <t>SYS_CFG_WR35</t>
  </si>
  <si>
    <t>0x052f</t>
  </si>
  <si>
    <t>SYS_CFG_WR36</t>
  </si>
  <si>
    <t>0x0530</t>
  </si>
  <si>
    <t>0x0c</t>
  </si>
  <si>
    <t>SYS_CFG_WR37</t>
  </si>
  <si>
    <t>0x0531</t>
  </si>
  <si>
    <t>SYS_CFG_WR38</t>
  </si>
  <si>
    <t>0x0532</t>
  </si>
  <si>
    <t>SYS_CFG_WR39</t>
  </si>
  <si>
    <t>0x0533</t>
  </si>
  <si>
    <t>REG_SYS_ANA_WR37</t>
  </si>
  <si>
    <t>0x0330</t>
  </si>
  <si>
    <t>REG_SYS_ANA_WR38</t>
  </si>
  <si>
    <t>0x0331</t>
  </si>
  <si>
    <t>0xff</t>
  </si>
  <si>
    <t>REG_SYS_ANA_WR39</t>
  </si>
  <si>
    <t>0x0332</t>
  </si>
  <si>
    <t>REG_SYS_ANA_WR40</t>
  </si>
  <si>
    <t>0x0333</t>
  </si>
  <si>
    <t>REG_SYS_ANA_WR41</t>
  </si>
  <si>
    <t>0x0334</t>
  </si>
  <si>
    <t>REG_SYS_ANA_WR42</t>
  </si>
  <si>
    <t>0x0335</t>
  </si>
  <si>
    <t>REG_SYS_ANA_WR43</t>
  </si>
  <si>
    <t>0x0336</t>
  </si>
  <si>
    <t>0x4a</t>
  </si>
  <si>
    <t>REG_SYS_ANA_WR44</t>
  </si>
  <si>
    <t>0x0337</t>
  </si>
  <si>
    <t>REG_SYS_ANA_WR45</t>
  </si>
  <si>
    <t>0x0338</t>
  </si>
  <si>
    <t>0x88</t>
  </si>
  <si>
    <t>REG_SYS_ANA_WR46</t>
  </si>
  <si>
    <t>0x0339</t>
  </si>
  <si>
    <t>REG_SYS_ANA_WR47</t>
  </si>
  <si>
    <t>0x033a</t>
  </si>
  <si>
    <t>REG_SYS_ANA_WR48</t>
  </si>
  <si>
    <t>0x033b</t>
  </si>
  <si>
    <t>REG_SYS_ANA_WR49</t>
  </si>
  <si>
    <t>0x033c</t>
  </si>
  <si>
    <t>REG_SYS_ANA_WR50</t>
  </si>
  <si>
    <t>0x033d</t>
  </si>
  <si>
    <t>0x91</t>
  </si>
  <si>
    <t>REG_SYS_ANA_WR51</t>
  </si>
  <si>
    <t>0x033e</t>
  </si>
  <si>
    <t>REG_SYS_ANA_WR52</t>
  </si>
  <si>
    <t>0x033f</t>
  </si>
  <si>
    <t>REG_SYS_ANA_WR53</t>
  </si>
  <si>
    <t>0x0340</t>
  </si>
  <si>
    <t>REG_SYS_ANA_WR54</t>
  </si>
  <si>
    <t>0x0341</t>
  </si>
  <si>
    <t>REG_SYS_ANA_WR55</t>
  </si>
  <si>
    <t>0x0342</t>
  </si>
  <si>
    <t>REG_SYS_ANA_WR56</t>
  </si>
  <si>
    <t>0x0343</t>
  </si>
  <si>
    <t>REG_SYS_ANA_WR57</t>
  </si>
  <si>
    <t>0x0344</t>
  </si>
  <si>
    <t>REG_SYS_ANA_WR58</t>
  </si>
  <si>
    <t>0x0345</t>
  </si>
  <si>
    <t>0x6c</t>
  </si>
  <si>
    <t>0x63</t>
  </si>
  <si>
    <t>REG_SYS_ANA_WR59</t>
  </si>
  <si>
    <t>0x0346</t>
  </si>
  <si>
    <t>REG_SYS_ANA_WR60</t>
  </si>
  <si>
    <t>0x0347</t>
  </si>
  <si>
    <t>0x7a</t>
  </si>
  <si>
    <t>REG_SYS_ANA_WR61</t>
  </si>
  <si>
    <t>0x0348</t>
  </si>
  <si>
    <t>REG_SYS_ANA_WR62</t>
  </si>
  <si>
    <t>0x0349</t>
  </si>
  <si>
    <t>REG_SYS_ANA_WR63</t>
  </si>
  <si>
    <t>0x034a</t>
  </si>
  <si>
    <t>0xaa</t>
  </si>
  <si>
    <t>0x9c</t>
  </si>
  <si>
    <t>REG_SYS_ANA_WR64</t>
  </si>
  <si>
    <t>0x034b</t>
  </si>
  <si>
    <t>REG_SYS_ANA_WR65</t>
  </si>
  <si>
    <t>0x034c</t>
  </si>
  <si>
    <t>0x3a</t>
  </si>
  <si>
    <t>REG_SYS_ANA_WR66</t>
  </si>
  <si>
    <t>0x034d</t>
  </si>
  <si>
    <t>REG_SYS_ANA_WR67</t>
  </si>
  <si>
    <t>0x034e</t>
  </si>
  <si>
    <t>0x8a</t>
  </si>
  <si>
    <t>0x76</t>
  </si>
  <si>
    <t>REG_SYS_ANA_WR68</t>
  </si>
  <si>
    <t>0x034f</t>
  </si>
  <si>
    <t>REG_SYS_ANA_WR69</t>
  </si>
  <si>
    <t>0x0350</t>
  </si>
  <si>
    <t>REG_SYS_ANA_WR70</t>
  </si>
  <si>
    <t>0x0351</t>
  </si>
  <si>
    <t>REG_SYS_ANA_WR71</t>
  </si>
  <si>
    <t>0x0352</t>
  </si>
  <si>
    <t>REG_SYS_ANA_WR72</t>
  </si>
  <si>
    <t>0x0353</t>
  </si>
  <si>
    <t>0xd4</t>
  </si>
  <si>
    <t>REG_SYS_ANA_WR73</t>
  </si>
  <si>
    <t>0x0354</t>
  </si>
  <si>
    <t>REG_SYS_ANA_WR74</t>
  </si>
  <si>
    <t>0x0355</t>
  </si>
  <si>
    <t>REG_SYS_ANA_WR75</t>
  </si>
  <si>
    <t>0x0356</t>
  </si>
  <si>
    <t>REG_SYS_ANA_WR76</t>
  </si>
  <si>
    <t>0x0357</t>
  </si>
  <si>
    <t>0xc4</t>
  </si>
  <si>
    <t>0xae</t>
  </si>
  <si>
    <t>REG_SYS_ANA_WR77</t>
  </si>
  <si>
    <t>0x0358</t>
  </si>
  <si>
    <t>REG_SYS_ANA_WR78</t>
  </si>
  <si>
    <t>0x0359</t>
  </si>
  <si>
    <t>REG_SYS_ANA_WR79</t>
  </si>
  <si>
    <t>0x035a</t>
  </si>
  <si>
    <t>REG_SYS_ANA_WR80</t>
  </si>
  <si>
    <t>0x035b</t>
  </si>
  <si>
    <t>REG_SYS_ANA_WR81</t>
  </si>
  <si>
    <t>0x035c</t>
  </si>
  <si>
    <t>REG_SYS_ANA_WR82</t>
  </si>
  <si>
    <t>0x035d</t>
  </si>
  <si>
    <t>REG_SYS_ANA_WR83</t>
  </si>
  <si>
    <t>0x035e</t>
  </si>
  <si>
    <t>REG_SYS_ANA_WR84</t>
  </si>
  <si>
    <t>0x035f</t>
  </si>
  <si>
    <t>REG_SYS_ANA_WR85</t>
  </si>
  <si>
    <t>0x0360</t>
  </si>
  <si>
    <t>REG_SYS_ANA_WR86</t>
  </si>
  <si>
    <t>0x0361</t>
  </si>
  <si>
    <t>REG_SYS_ANA_WR87</t>
  </si>
  <si>
    <t>0x0362</t>
  </si>
  <si>
    <t>REG_SYS_ANA_WR88</t>
  </si>
  <si>
    <t>0x0363</t>
  </si>
  <si>
    <t>REG_SYS_ANA_WR89</t>
  </si>
  <si>
    <t>0x0364</t>
  </si>
  <si>
    <t>REG_SYS_ANA_WR90</t>
  </si>
  <si>
    <t>0x0365</t>
  </si>
  <si>
    <t>REG_SYS_ANA_WR91</t>
  </si>
  <si>
    <t>0x0366</t>
  </si>
  <si>
    <t>REG_SYS_ANA_WR92</t>
  </si>
  <si>
    <t>0x0367</t>
  </si>
  <si>
    <t>REG_SYS_ANA_WR93</t>
  </si>
  <si>
    <t>0x0368</t>
  </si>
  <si>
    <t>REG_SYS_ANA_WR94</t>
  </si>
  <si>
    <t>0x0369</t>
  </si>
  <si>
    <t>REG_SYS_ANA_WR95</t>
  </si>
  <si>
    <t>0x036a</t>
  </si>
  <si>
    <t>REG_SYS_ANA_WR96</t>
  </si>
  <si>
    <t>0x036b</t>
  </si>
  <si>
    <t>REG_SYS_ANA_WR97</t>
  </si>
  <si>
    <t>0x036c</t>
  </si>
  <si>
    <t>0xad</t>
  </si>
  <si>
    <t>0x9f</t>
  </si>
  <si>
    <t>REG_SYS_ANA_WR98</t>
  </si>
  <si>
    <t>0x036d</t>
  </si>
  <si>
    <t>REG_SYS_ANA_WR99</t>
  </si>
  <si>
    <t>0x036e</t>
  </si>
  <si>
    <t>REG_SYS_ANA_WR100</t>
  </si>
  <si>
    <t>0x036f</t>
  </si>
  <si>
    <t>REG_SYS_ANA_WR101</t>
  </si>
  <si>
    <t>0x0370</t>
  </si>
  <si>
    <t>0x4d</t>
  </si>
  <si>
    <t>0x3d</t>
  </si>
  <si>
    <t>REG_SYS_ANA_WR102</t>
  </si>
  <si>
    <t>0x0371</t>
  </si>
  <si>
    <t>REG_SYS_ANA_WR103</t>
  </si>
  <si>
    <t>0x0372</t>
  </si>
  <si>
    <t>REG_SYS_ANA_WR104</t>
  </si>
  <si>
    <t>0x0373</t>
  </si>
  <si>
    <t>REG_SYS_ANA_WR105</t>
  </si>
  <si>
    <t>0x0374</t>
  </si>
  <si>
    <t>0x8d</t>
  </si>
  <si>
    <t>0x79</t>
  </si>
  <si>
    <t>REG_SYS_ANA_WR106</t>
  </si>
  <si>
    <t>0x0375</t>
  </si>
  <si>
    <t>REG_SYS_ANA_WR107</t>
  </si>
  <si>
    <t>0x0376</t>
  </si>
  <si>
    <t>REG_SYS_ANA_WR108</t>
  </si>
  <si>
    <t>0x0377</t>
  </si>
  <si>
    <t>REG_SYS_ANA_WR109</t>
  </si>
  <si>
    <t>0x0378</t>
  </si>
  <si>
    <t>0x96</t>
  </si>
  <si>
    <t>0x7f</t>
  </si>
  <si>
    <t>REG_SYS_ANA_WR110</t>
  </si>
  <si>
    <t>0x0379</t>
  </si>
  <si>
    <t>REG_SYS_ANA_WR111</t>
  </si>
  <si>
    <t>0x037a</t>
  </si>
  <si>
    <t>REG_SYS_ANA_WR112</t>
  </si>
  <si>
    <t>0x037b</t>
  </si>
  <si>
    <t>REG_SYS_ANA_WR113</t>
  </si>
  <si>
    <t>0x037c</t>
  </si>
  <si>
    <t>REG_SYS_ANA_WR114</t>
  </si>
  <si>
    <t>0x037d</t>
  </si>
  <si>
    <t>REG_SYS_ANA_WR115</t>
  </si>
  <si>
    <t>0x037e</t>
  </si>
  <si>
    <t>REG_SYS_ANA_WR116</t>
  </si>
  <si>
    <t>0x037f</t>
  </si>
  <si>
    <t>REG_SYS_ANA_WR117</t>
  </si>
  <si>
    <t>0x0380</t>
  </si>
  <si>
    <t>REG_SYS_ANA_WR118</t>
  </si>
  <si>
    <t>0x0381</t>
  </si>
  <si>
    <t>REG_SYS_ANA_WR119</t>
  </si>
  <si>
    <t>0x0382</t>
  </si>
  <si>
    <t>REG_SYS_ANA_WR120</t>
  </si>
  <si>
    <t>0x0383</t>
  </si>
  <si>
    <t>REG_SYS_ANA_WR121</t>
  </si>
  <si>
    <t>0x0384</t>
  </si>
  <si>
    <t>REG_SYS_ANA_WR122</t>
  </si>
  <si>
    <t>0x0385</t>
  </si>
  <si>
    <t>0xa5</t>
  </si>
  <si>
    <t>0x98</t>
  </si>
  <si>
    <t>REG_SYS_ANA_WR123</t>
  </si>
  <si>
    <t>0x0386</t>
  </si>
  <si>
    <t>REG_SYS_ANA_WR124</t>
  </si>
  <si>
    <t>0x0387</t>
  </si>
  <si>
    <t>REG_SYS_ANA_WR125</t>
  </si>
  <si>
    <t>0x0388</t>
  </si>
  <si>
    <t>REG_SYS_ANA_WR126</t>
  </si>
  <si>
    <t>0x0389</t>
  </si>
  <si>
    <t>REG_SYS_ANA_WR127</t>
  </si>
  <si>
    <t>0x038a</t>
  </si>
  <si>
    <t>REG_SYS_ANA_WR128</t>
  </si>
  <si>
    <t>0x038b</t>
  </si>
  <si>
    <t>REG_SYS_ANA_WR129</t>
  </si>
  <si>
    <t>0x038c</t>
  </si>
  <si>
    <t>0xaf</t>
  </si>
  <si>
    <t>0xa1</t>
  </si>
  <si>
    <t>REG_SYS_ANA_WR130</t>
  </si>
  <si>
    <t>0x038d</t>
  </si>
  <si>
    <t>REG_SYS_ANA_WR131</t>
  </si>
  <si>
    <t>0x038e</t>
  </si>
  <si>
    <t>REG_SYS_ANA_WR132</t>
  </si>
  <si>
    <t>0x038f</t>
  </si>
  <si>
    <t>REG_SYS_ANA_WR133</t>
  </si>
  <si>
    <t>0x0390</t>
  </si>
  <si>
    <t>0x8f</t>
  </si>
  <si>
    <t>0x7b</t>
  </si>
  <si>
    <t>REG_SYS_ANA_WR134</t>
  </si>
  <si>
    <t>0x0391</t>
  </si>
  <si>
    <t>REG_SYS_ANA_WR135</t>
  </si>
  <si>
    <t>0x0392</t>
  </si>
  <si>
    <t>REG_SYS_ANA_WR136</t>
  </si>
  <si>
    <t>0x0393</t>
  </si>
  <si>
    <t>REG_SYS_ANA_WR137</t>
  </si>
  <si>
    <t>0x0394</t>
  </si>
  <si>
    <t>REG_SYS_ANA_WR138</t>
  </si>
  <si>
    <t>0x0395</t>
  </si>
  <si>
    <t>REG_SYS_ANA_WR139</t>
  </si>
  <si>
    <t>0x0396</t>
  </si>
  <si>
    <t>REG_SYS_ANA_WR140</t>
  </si>
  <si>
    <t>0x0397</t>
  </si>
  <si>
    <t>REG_SYS_ANA_WR141</t>
  </si>
  <si>
    <t>0x0398</t>
  </si>
  <si>
    <t>0xda</t>
  </si>
  <si>
    <t>0xcb</t>
  </si>
  <si>
    <t>REG_SYS_ANA_WR142</t>
  </si>
  <si>
    <t>0x0399</t>
  </si>
  <si>
    <t>REG_SYS_ANA_WR143</t>
  </si>
  <si>
    <t>0x039a</t>
  </si>
  <si>
    <t>0x48</t>
  </si>
  <si>
    <t>0x39</t>
  </si>
  <si>
    <t>REG_SYS_ANA_WR144</t>
  </si>
  <si>
    <t>0x039b</t>
  </si>
  <si>
    <t>REG_SYS_ANA_WR145</t>
  </si>
  <si>
    <t>0x039c</t>
  </si>
  <si>
    <t>0xba</t>
  </si>
  <si>
    <t>REG_SYS_ANA_WR146</t>
  </si>
  <si>
    <t>0x039d</t>
  </si>
  <si>
    <t>REG_SYS_ANA_WR147</t>
  </si>
  <si>
    <t>0x039e</t>
  </si>
  <si>
    <t>REG_SYS_ANA_WR148</t>
  </si>
  <si>
    <t>0x039f</t>
  </si>
  <si>
    <t>REG_SYS_ANA_WR149</t>
  </si>
  <si>
    <t>0x03a0</t>
  </si>
  <si>
    <t>REG_SYS_ANA_WR150</t>
  </si>
  <si>
    <t>0x03a1</t>
  </si>
  <si>
    <t>0xc6</t>
  </si>
  <si>
    <t>0xb6</t>
  </si>
  <si>
    <t>REG_SYS_ANA_WR151</t>
  </si>
  <si>
    <t>0x03a2</t>
  </si>
  <si>
    <t>REG_SYS_ANA_WR152</t>
  </si>
  <si>
    <t>0x03a3</t>
  </si>
  <si>
    <t>0xd0</t>
  </si>
  <si>
    <t>REG_SYS_ANA_WR153</t>
  </si>
  <si>
    <t>0x03a4</t>
  </si>
  <si>
    <t>REG_SYS_ANA_WR154</t>
  </si>
  <si>
    <t>0x03a5</t>
  </si>
  <si>
    <t>0xa6</t>
  </si>
  <si>
    <t>0x90</t>
  </si>
  <si>
    <t>REG_SYS_ANA_WR155</t>
  </si>
  <si>
    <t>0x03a6</t>
  </si>
  <si>
    <t>REG_SYS_ANA_WR156</t>
  </si>
  <si>
    <t>0x03a7</t>
  </si>
  <si>
    <t>0xb0</t>
  </si>
  <si>
    <t>0x9a</t>
  </si>
  <si>
    <t>REG_SYS_ANA_WR157</t>
  </si>
  <si>
    <t>0x03a8</t>
  </si>
  <si>
    <t>REG_SYS_ANA_WR158</t>
  </si>
  <si>
    <t>0x03a9</t>
  </si>
  <si>
    <t>REG_SYS_ANA_WR159</t>
  </si>
  <si>
    <t>0x03aa</t>
  </si>
  <si>
    <t>0x4b</t>
  </si>
  <si>
    <t>REG_SYS_ANA_WR160</t>
  </si>
  <si>
    <t>0x03ab</t>
  </si>
  <si>
    <t>REG_SYS_ANA_WR161</t>
  </si>
  <si>
    <t>0x03ac</t>
  </si>
  <si>
    <t>REG_SYS_ANA_WR162</t>
  </si>
  <si>
    <t>0x03ad</t>
  </si>
  <si>
    <t>REG_SYS_ANA_WR163</t>
  </si>
  <si>
    <t>0x03ae</t>
  </si>
  <si>
    <t>REG_SYS_ANA_WR164</t>
  </si>
  <si>
    <t>0x03af</t>
  </si>
  <si>
    <t>REG_SYS_ANA_WR165</t>
  </si>
  <si>
    <t>0x03b0</t>
  </si>
  <si>
    <t>0x93</t>
  </si>
  <si>
    <t>REG_SYS_ANA_WR166</t>
  </si>
  <si>
    <t>0x03b1</t>
  </si>
  <si>
    <t>REG_SYS_ANA_WR167</t>
  </si>
  <si>
    <t>0x03b2</t>
  </si>
  <si>
    <t>REG_SYS_ANA_WR168</t>
  </si>
  <si>
    <t>0x03b3</t>
  </si>
  <si>
    <t>0x50</t>
  </si>
  <si>
    <t>REG_SYS_ANA_WR169</t>
  </si>
  <si>
    <t>0x03b4</t>
  </si>
  <si>
    <t>REG_SYS_ANA_WR170</t>
  </si>
  <si>
    <t>0x03b5</t>
  </si>
  <si>
    <t>0x52</t>
  </si>
  <si>
    <t>REG_SYS_ANA_WR171</t>
  </si>
  <si>
    <t>0x03b6</t>
  </si>
  <si>
    <t>REG_SYS_ANA_WR172</t>
  </si>
  <si>
    <t>0x03b7</t>
  </si>
  <si>
    <t>0xa4</t>
  </si>
  <si>
    <t>REG_SYS_ANA_WR173</t>
  </si>
  <si>
    <t>0x03b8</t>
  </si>
  <si>
    <t>REG_SYS_ANA_WR174</t>
  </si>
  <si>
    <t>0x03b9</t>
  </si>
  <si>
    <t>REG_SYS_ANA_WR175</t>
  </si>
  <si>
    <t>0x03ba</t>
  </si>
  <si>
    <t>REG_SYS_ANA_WR176</t>
  </si>
  <si>
    <t>0x03bb</t>
  </si>
  <si>
    <t>REG_SYS_ANA_WR177</t>
  </si>
  <si>
    <t>0x03bc</t>
  </si>
  <si>
    <t>0x51</t>
  </si>
  <si>
    <t>REG_SYS_ANA_WR178</t>
  </si>
  <si>
    <t>0x03bd</t>
  </si>
  <si>
    <t>REG_SYS_ANA_WR179</t>
  </si>
  <si>
    <t>0x03be</t>
  </si>
  <si>
    <t>REG_SYS_ANA_WR180</t>
  </si>
  <si>
    <t>0x03bf</t>
  </si>
  <si>
    <t>REG_SYS_ANA_WR181</t>
  </si>
  <si>
    <t>0x03c0</t>
  </si>
  <si>
    <t>REG_SYS_ANA_WR182</t>
  </si>
  <si>
    <t>0x03c1</t>
  </si>
  <si>
    <t>REG_SYS_ANA_WR183</t>
  </si>
  <si>
    <t>0x03c2</t>
  </si>
  <si>
    <t>REG_SYS_ANA_WR184</t>
  </si>
  <si>
    <t>0x03c3</t>
  </si>
  <si>
    <t>REG_SYS_ANA_WR194</t>
  </si>
  <si>
    <t>0x03cd</t>
  </si>
  <si>
    <t>REG_SYS_ANA_WR195</t>
  </si>
  <si>
    <t>0x03ce</t>
  </si>
  <si>
    <t>0xc7</t>
  </si>
  <si>
    <t>REG_SYS_ANA_WR196</t>
  </si>
  <si>
    <t>0x03cf</t>
  </si>
  <si>
    <t>REG_SYS_ANA_WR197</t>
  </si>
  <si>
    <t>0x03d0</t>
  </si>
  <si>
    <t>REG_SYS_ANA_WR198</t>
  </si>
  <si>
    <t>0x03d1</t>
  </si>
  <si>
    <t>REG_SYS_ANA_WR199</t>
  </si>
  <si>
    <t>0x03d2</t>
  </si>
  <si>
    <t>0x1b</t>
  </si>
  <si>
    <t>REG_SYS_ANA_WR200</t>
  </si>
  <si>
    <t>0x03d3</t>
  </si>
  <si>
    <t>REG_SYS_ANA_WR201</t>
  </si>
  <si>
    <t>0x03d4</t>
  </si>
  <si>
    <t>REG_SYS_ANA_WR202</t>
  </si>
  <si>
    <t>0x03d5</t>
  </si>
  <si>
    <t>REG_SYS_ANA_WR203</t>
  </si>
  <si>
    <t>0x03d6</t>
  </si>
  <si>
    <t>REG_SYS_ANA_WR204</t>
  </si>
  <si>
    <t>0x03d7</t>
  </si>
  <si>
    <t>0x87</t>
  </si>
  <si>
    <t>REG_SYS_ANA_WR205</t>
  </si>
  <si>
    <t>0x03d8</t>
  </si>
  <si>
    <t>REG_SYS_ANA_WR206</t>
  </si>
  <si>
    <t>0x03d9</t>
  </si>
  <si>
    <t>REG_SYS_ANA_WR207</t>
  </si>
  <si>
    <t>0x03da</t>
  </si>
  <si>
    <t>REG_SYS_ANA_WR208</t>
  </si>
  <si>
    <t>0x03db</t>
  </si>
  <si>
    <t>0xdb</t>
  </si>
  <si>
    <t>REG_SYS_ANA_WR209</t>
  </si>
  <si>
    <t>0x03dc</t>
  </si>
  <si>
    <t>REG_SYS_ANA_WR210</t>
  </si>
  <si>
    <t>0x03dd</t>
  </si>
  <si>
    <t>0x5b</t>
  </si>
  <si>
    <t>REG_SYS_ANA_WR211</t>
  </si>
  <si>
    <t>0x03de</t>
  </si>
  <si>
    <t>REG_SYS_ANA_WR212</t>
  </si>
  <si>
    <t>0x03df</t>
  </si>
  <si>
    <t>REG_SYS_ANA_WR213</t>
  </si>
  <si>
    <t>0x03e0</t>
  </si>
  <si>
    <t>0x47</t>
  </si>
  <si>
    <t>REG_SYS_ANA_WR214</t>
  </si>
  <si>
    <t>0x03e1</t>
  </si>
  <si>
    <t>REG_SYS_ANA_WR215</t>
  </si>
  <si>
    <t>0x03e2</t>
  </si>
  <si>
    <t>REG_SYS_ANA_WR216</t>
  </si>
  <si>
    <t>0x03e3</t>
  </si>
  <si>
    <t>REG_SYS_ANA_WR217</t>
  </si>
  <si>
    <t>0x03e4</t>
  </si>
  <si>
    <t>0x9b</t>
  </si>
  <si>
    <t>REG_SYS_ANA_WR218</t>
  </si>
  <si>
    <t>0x03e5</t>
  </si>
  <si>
    <t>REG_SYS_ANA_WR219</t>
  </si>
  <si>
    <t>0x03e6</t>
  </si>
  <si>
    <t>REG_SYS_ANA_WR220</t>
  </si>
  <si>
    <t>0x03e7</t>
  </si>
  <si>
    <t>REG_SYS_ANA_WR221</t>
  </si>
  <si>
    <t>0x03e8</t>
  </si>
  <si>
    <t>REG_SYS_ANA_WR222</t>
  </si>
  <si>
    <t>0x03e9</t>
  </si>
  <si>
    <t>0x27</t>
  </si>
  <si>
    <t>REG_SYS_ANA_WR223</t>
  </si>
  <si>
    <t>0x03ea</t>
  </si>
  <si>
    <t>REG_SYS_ANA_WR224</t>
  </si>
  <si>
    <t>0x03eb</t>
  </si>
  <si>
    <t>0x67</t>
  </si>
  <si>
    <t>REG_SYS_ANA_WR225</t>
  </si>
  <si>
    <t>0x03ec</t>
  </si>
  <si>
    <t>REG_SYS_ANA_WR226</t>
  </si>
  <si>
    <t>0x03ed</t>
  </si>
  <si>
    <t>0xa7</t>
  </si>
  <si>
    <t>REG_SYS_ANA_WR227</t>
  </si>
  <si>
    <t>0x03ee</t>
  </si>
  <si>
    <t>REG_SYS_ANA_WR228</t>
  </si>
  <si>
    <t>0x03ef</t>
  </si>
  <si>
    <t>0xe7</t>
  </si>
  <si>
    <t>REG_SYS_ANA_WR229</t>
  </si>
  <si>
    <t>0x03f0</t>
  </si>
  <si>
    <t>REG_SYS_ANA_WR230</t>
  </si>
  <si>
    <t>0x03f1</t>
  </si>
  <si>
    <t>REG_SYS_ANA_WR231</t>
  </si>
  <si>
    <t>0x03f2</t>
  </si>
  <si>
    <t>REG_SYS_ANA_WR232</t>
  </si>
  <si>
    <t>0x03f3</t>
  </si>
  <si>
    <t>0x4f</t>
  </si>
  <si>
    <t>REG_SYS_ANA_WR233</t>
  </si>
  <si>
    <t>0x03f4</t>
  </si>
  <si>
    <t>REG_SYS_ANA_WR234</t>
  </si>
  <si>
    <t>0x03f5</t>
  </si>
  <si>
    <t>REG_SYS_ANA_WR235</t>
  </si>
  <si>
    <t>0x03f6</t>
  </si>
  <si>
    <t>REG_SYS_ANA_WR236</t>
  </si>
  <si>
    <t>0x03f7</t>
  </si>
  <si>
    <t>0xbb</t>
  </si>
  <si>
    <t>REG_SYS_ANA_WR237</t>
  </si>
  <si>
    <t>0x03f8</t>
  </si>
  <si>
    <t>REG_SYS_ANA_WR238</t>
  </si>
  <si>
    <t>0x03f9</t>
  </si>
  <si>
    <t>0xfb</t>
  </si>
  <si>
    <t>REG_SYS_ANA_WR239</t>
  </si>
  <si>
    <t>0x03fa</t>
  </si>
  <si>
    <t>REG_SYS_ANA_WR240</t>
  </si>
  <si>
    <t>0x03fb</t>
  </si>
  <si>
    <t>0x3b</t>
  </si>
  <si>
    <t>REG_SYS_ANA_WR241</t>
  </si>
  <si>
    <t>0x03fc</t>
  </si>
  <si>
    <t>REG_SYS_ANA_WR242</t>
  </si>
  <si>
    <t>0x03fd</t>
  </si>
  <si>
    <t>REG_SYS_ANA_WR243</t>
  </si>
  <si>
    <t>0x03fe</t>
  </si>
  <si>
    <t>REG_SYS_ANA_WR244</t>
  </si>
  <si>
    <t>0x03ff</t>
  </si>
  <si>
    <t>0xa3</t>
  </si>
  <si>
    <t>REG_SYS_ANA_WR245</t>
  </si>
  <si>
    <t>0x0400</t>
  </si>
  <si>
    <t>REG_SYS_ANA_WR246</t>
  </si>
  <si>
    <t>0x0401</t>
  </si>
  <si>
    <t>REG_SYS_ANA_WR247</t>
  </si>
  <si>
    <t>0x0402</t>
  </si>
  <si>
    <t>REG_SYS_ANA_WR248</t>
  </si>
  <si>
    <t>0x0403</t>
  </si>
  <si>
    <t>REG_SYS_ANA_WR249</t>
  </si>
  <si>
    <t>0x0404</t>
  </si>
  <si>
    <t>REG_SYS_ANA_WR250</t>
  </si>
  <si>
    <t>0x0405</t>
  </si>
  <si>
    <t>REG_SYS_ANA_WR251</t>
  </si>
  <si>
    <t>0x0406</t>
  </si>
  <si>
    <t>REG_SYS_ANA_WR252</t>
  </si>
  <si>
    <t>0x0407</t>
  </si>
  <si>
    <t>REG_SYS_ANA_WR253</t>
  </si>
  <si>
    <t>0x0408</t>
  </si>
  <si>
    <t>REG_SYS_ANA_WR254</t>
  </si>
  <si>
    <t>0x0409</t>
  </si>
  <si>
    <t>REG_SYS_ANA_WR255</t>
  </si>
  <si>
    <t>0x040a</t>
  </si>
  <si>
    <t>REG_SYS_ANA_WR256</t>
  </si>
  <si>
    <t>0x040b</t>
  </si>
  <si>
    <t>REG_SYS_ANA_WR257</t>
  </si>
  <si>
    <t>0x040c</t>
  </si>
  <si>
    <t>REG_SYS_ANA_WR258</t>
  </si>
  <si>
    <t>0x040d</t>
  </si>
  <si>
    <t>REG_SYS_ANA_WR259</t>
  </si>
  <si>
    <t>0x040e</t>
  </si>
  <si>
    <t>REG_SYS_ANA_WR260</t>
  </si>
  <si>
    <t>0x040f</t>
  </si>
  <si>
    <t>REG_SYS_ANA_WR261</t>
  </si>
  <si>
    <t>0x0410</t>
  </si>
  <si>
    <t>REG_SYS_ANA_WR262</t>
  </si>
  <si>
    <t>0x0411</t>
  </si>
  <si>
    <t>REG_SYS_ANA_WR263</t>
  </si>
  <si>
    <t>0x0412</t>
  </si>
  <si>
    <t>REG_SYS_ANA_WR264</t>
  </si>
  <si>
    <t>0x0413</t>
  </si>
  <si>
    <t>REG_SYS_ANA_WR265</t>
  </si>
  <si>
    <t>0x0414</t>
  </si>
  <si>
    <t>REG_SYS_ANA_WR266</t>
  </si>
  <si>
    <t>0x0415</t>
  </si>
  <si>
    <t>REG_SYS_ANA_WR267</t>
  </si>
  <si>
    <t>0x0416</t>
  </si>
  <si>
    <t>REG_SYS_ANA_WR268</t>
  </si>
  <si>
    <t>0x0417</t>
  </si>
  <si>
    <t>REG_SYS_ANA_WR269</t>
  </si>
  <si>
    <t>0x0418</t>
  </si>
  <si>
    <t>REG_SYS_ANA_WR270</t>
  </si>
  <si>
    <t>0x0419</t>
  </si>
  <si>
    <t>REG_SYS_ANA_WR271</t>
  </si>
  <si>
    <t>0x041a</t>
  </si>
  <si>
    <t>REG_OTP_CRTL</t>
  </si>
  <si>
    <t>ISP_CFG_WR03</t>
  </si>
  <si>
    <t>0x0804</t>
  </si>
  <si>
    <t>ISP_CFG_WR04</t>
  </si>
  <si>
    <t>0x0805</t>
  </si>
  <si>
    <t>ISP_CFG_WR07</t>
  </si>
  <si>
    <t>0x0821</t>
  </si>
  <si>
    <t>ISP_CFG_WR14</t>
  </si>
  <si>
    <t>0x0828</t>
  </si>
  <si>
    <t>0x5a</t>
  </si>
  <si>
    <t>ISP_CFG_WR15</t>
  </si>
  <si>
    <t>0x0829</t>
  </si>
  <si>
    <t>ISP_CFG_WR16</t>
  </si>
  <si>
    <t>0x082a</t>
  </si>
  <si>
    <t>ISP_CFG_WR17</t>
  </si>
  <si>
    <t>0x082b</t>
  </si>
  <si>
    <t>0x20</t>
  </si>
  <si>
    <t>ISP_CFG_WR18</t>
  </si>
  <si>
    <t>0x082c</t>
  </si>
  <si>
    <t>ISP_CFG_WR19</t>
  </si>
  <si>
    <t>0x082d</t>
  </si>
  <si>
    <t>ISP_CFG_WR20</t>
  </si>
  <si>
    <t>0x082e</t>
  </si>
  <si>
    <t>0x64</t>
  </si>
  <si>
    <t>ISP_CFG_WR21</t>
  </si>
  <si>
    <t>0x082f</t>
  </si>
  <si>
    <t>ISP_CFG_WR22</t>
  </si>
  <si>
    <t>0x0830</t>
  </si>
  <si>
    <t>ISP_CFG_WR23</t>
  </si>
  <si>
    <t>0x0831</t>
  </si>
  <si>
    <t>ISP_CFG_WR24</t>
  </si>
  <si>
    <t>0x0832</t>
  </si>
  <si>
    <t>ISP_CFG_WR25</t>
  </si>
  <si>
    <t>0x0833</t>
  </si>
  <si>
    <t>ISP_CFG_WR26</t>
  </si>
  <si>
    <t>0x0834</t>
  </si>
  <si>
    <t>ISP_CFG_WR27</t>
  </si>
  <si>
    <t>0x0835</t>
  </si>
  <si>
    <t>ISP_CFG_WR28</t>
  </si>
  <si>
    <t>0x0836</t>
  </si>
  <si>
    <t>ISP_CFG_WR30</t>
  </si>
  <si>
    <t>0x0838</t>
  </si>
  <si>
    <t>ISP_CFG_WR31</t>
  </si>
  <si>
    <t>0x0839</t>
  </si>
  <si>
    <t>0x80</t>
  </si>
  <si>
    <t>ISP_CFG_WR32</t>
  </si>
  <si>
    <t>0x083a</t>
  </si>
  <si>
    <t>ISP_CFG_WR33</t>
  </si>
  <si>
    <t>0x083b</t>
  </si>
  <si>
    <t>ISP_CFG_WR34</t>
  </si>
  <si>
    <t>0x083c</t>
  </si>
  <si>
    <t>REG_DPC_CTRL</t>
  </si>
  <si>
    <t>0x0885</t>
  </si>
  <si>
    <t>ISP_CFG_WR41</t>
  </si>
  <si>
    <t>0x0886</t>
  </si>
  <si>
    <t>ISP_CFG_WR42</t>
  </si>
  <si>
    <t>0x0887</t>
  </si>
  <si>
    <t>ISP_CFG_WR40</t>
  </si>
  <si>
    <t>0x0884</t>
  </si>
  <si>
    <t>ISP_CFG_WR46</t>
  </si>
  <si>
    <t>0x088b</t>
  </si>
  <si>
    <t>Delay</t>
  </si>
  <si>
    <t>0xffff</t>
  </si>
  <si>
    <t>0x2</t>
  </si>
  <si>
    <t>ISP_CFG_WR43</t>
  </si>
  <si>
    <t>0x0888</t>
  </si>
  <si>
    <t>ISP_CFG_WR44</t>
  </si>
  <si>
    <t>0x0889</t>
  </si>
  <si>
    <t>ISP_CFG_WR45</t>
  </si>
  <si>
    <t>0x088a</t>
  </si>
  <si>
    <t>MIPI_CFG_WR42</t>
  </si>
  <si>
    <t>0x1</t>
  </si>
  <si>
    <t>MIPI_CFG_WR00</t>
  </si>
  <si>
    <t>0x0601</t>
  </si>
  <si>
    <t>MIPI_CFG_WR01</t>
  </si>
  <si>
    <t>0x0602</t>
  </si>
  <si>
    <t>MIPI_CFG_WR02</t>
  </si>
  <si>
    <t>0x0603</t>
  </si>
  <si>
    <t>MIPI_LANE_EN</t>
  </si>
  <si>
    <t>0x0604</t>
  </si>
  <si>
    <t>MIPI_CFG_WR07</t>
  </si>
  <si>
    <t>0x060a</t>
  </si>
  <si>
    <t>MIPI_CFG_WR08</t>
  </si>
  <si>
    <t>0x060b</t>
  </si>
  <si>
    <t>0x2b</t>
  </si>
  <si>
    <t>MIPI_CFG_WR13</t>
  </si>
  <si>
    <t>0x0610</t>
  </si>
  <si>
    <t>0xe1</t>
  </si>
  <si>
    <t>MIPI_CFG_WR14</t>
  </si>
  <si>
    <t>0x0611</t>
  </si>
  <si>
    <t>0x2f</t>
  </si>
  <si>
    <t>MIPI_CFG_WR15</t>
  </si>
  <si>
    <t>0x0612</t>
  </si>
  <si>
    <t>0xc1</t>
  </si>
  <si>
    <t>0x24</t>
  </si>
  <si>
    <t>MIPI_CFG_WR16</t>
  </si>
  <si>
    <t>0x0613</t>
  </si>
  <si>
    <t>0xd5</t>
  </si>
  <si>
    <t>MIPI_CFG_WR17</t>
  </si>
  <si>
    <t>0x0614</t>
  </si>
  <si>
    <t>MIPI_CFG_WR18</t>
  </si>
  <si>
    <t>0x0615</t>
  </si>
  <si>
    <t>0x0d</t>
  </si>
  <si>
    <t>MIPI_CFG_WR19</t>
  </si>
  <si>
    <t>0x0616</t>
  </si>
  <si>
    <t>MIPI_CFG_WR20</t>
  </si>
  <si>
    <t>0x0617</t>
  </si>
  <si>
    <t>0x0e</t>
  </si>
  <si>
    <t>MIPI_CFG_WR21</t>
  </si>
  <si>
    <t>0x0618</t>
  </si>
  <si>
    <t>0x06</t>
  </si>
  <si>
    <t>MIPI_CFG_WR22</t>
  </si>
  <si>
    <t>0x0619</t>
  </si>
  <si>
    <t>0x21</t>
  </si>
  <si>
    <t>MIPI_CFG_WR23</t>
  </si>
  <si>
    <t>0x061a</t>
  </si>
  <si>
    <t>MIPI_CFG_WR24</t>
  </si>
  <si>
    <t>0x061b</t>
  </si>
  <si>
    <t>MIPI_CFG_WR25</t>
  </si>
  <si>
    <t>0x061c</t>
  </si>
  <si>
    <t>MIPI_CFG_WR26</t>
  </si>
  <si>
    <t>0x061d</t>
  </si>
  <si>
    <t>MIPI_CFG_WR27</t>
  </si>
  <si>
    <t>0x061e</t>
  </si>
  <si>
    <t>MIPI_CFG_WR28</t>
  </si>
  <si>
    <t>0x061f</t>
  </si>
  <si>
    <t>MIPI_CFG_WR29</t>
  </si>
  <si>
    <t>0x0620</t>
  </si>
  <si>
    <t>MIPI_CFG_WR30</t>
  </si>
  <si>
    <t>0x0621</t>
  </si>
  <si>
    <t>Fullsize_30fps</t>
  </si>
  <si>
    <t>1080P_30fps</t>
  </si>
  <si>
    <t>720P(binning)_60fps</t>
  </si>
  <si>
    <t>720P(crop)_60fps</t>
  </si>
  <si>
    <t>VGA_90fps</t>
  </si>
  <si>
    <t>1368x768_60fps</t>
  </si>
  <si>
    <t>Output size</t>
  </si>
  <si>
    <t>2592x1944</t>
  </si>
  <si>
    <t>pix</t>
  </si>
  <si>
    <t>1920X1080</t>
  </si>
  <si>
    <t>1280x720</t>
  </si>
  <si>
    <t>640X480</t>
  </si>
  <si>
    <t xml:space="preserve">1368X768 </t>
  </si>
  <si>
    <t>Max frame rate</t>
  </si>
  <si>
    <t>fps</t>
  </si>
  <si>
    <t>Output formate</t>
  </si>
  <si>
    <t>RAW</t>
  </si>
  <si>
    <t>Frame Length</t>
  </si>
  <si>
    <t>Line Length</t>
  </si>
  <si>
    <t>Min Shutter</t>
  </si>
  <si>
    <t>line</t>
  </si>
  <si>
    <t>Shutter Margin</t>
  </si>
  <si>
    <t>Min Gain</t>
  </si>
  <si>
    <t>X</t>
  </si>
  <si>
    <t>Max Gain</t>
  </si>
  <si>
    <t>Gain Step</t>
  </si>
  <si>
    <t>Shutter Delay</t>
  </si>
  <si>
    <t>frame</t>
  </si>
  <si>
    <t>#Basic Mode</t>
  </si>
  <si>
    <t>SYS_CFG_WR40</t>
  </si>
  <si>
    <t>0x0534</t>
  </si>
  <si>
    <t>SYS_CFG_WR41</t>
  </si>
  <si>
    <t>0x0535</t>
  </si>
  <si>
    <t>SYS_CFG_WR42</t>
  </si>
  <si>
    <t>0x0536</t>
  </si>
  <si>
    <t>0x74</t>
  </si>
  <si>
    <t>SYS_CFG_WR43</t>
  </si>
  <si>
    <t>0x0537</t>
  </si>
  <si>
    <t>SYS_CFG_WR44</t>
  </si>
  <si>
    <t>0x0538</t>
  </si>
  <si>
    <t>0x54</t>
  </si>
  <si>
    <t>0x13</t>
  </si>
  <si>
    <t>0x1e</t>
  </si>
  <si>
    <t>0x16</t>
  </si>
  <si>
    <t>SYS_CFG_WR45</t>
  </si>
  <si>
    <t>0x0539</t>
  </si>
  <si>
    <t>SYS_CFG_WR46</t>
  </si>
  <si>
    <t>0x053a</t>
  </si>
  <si>
    <t>0x58</t>
  </si>
  <si>
    <t>SYS_CFG_WR47</t>
  </si>
  <si>
    <t>0x053b</t>
  </si>
  <si>
    <t>SYS_CFG_WR48</t>
  </si>
  <si>
    <t>0x053c</t>
  </si>
  <si>
    <t>0x5e</t>
  </si>
  <si>
    <t>0xec</t>
  </si>
  <si>
    <t>0xf2</t>
  </si>
  <si>
    <t>SYS_CFG_WR49</t>
  </si>
  <si>
    <t>0x053d</t>
  </si>
  <si>
    <t>SYS_CFG_WR50</t>
  </si>
  <si>
    <t>0x053e</t>
  </si>
  <si>
    <t>0x26</t>
  </si>
  <si>
    <t>0x3c</t>
  </si>
  <si>
    <t>SYS_CFG_WR51</t>
  </si>
  <si>
    <t>0x053f</t>
  </si>
  <si>
    <t>SYS_CFG_WR52</t>
  </si>
  <si>
    <t>0x0540</t>
  </si>
  <si>
    <t>0x68</t>
  </si>
  <si>
    <t>0xc5</t>
  </si>
  <si>
    <t>0xe6</t>
  </si>
  <si>
    <t>0xce</t>
  </si>
  <si>
    <t>SYS_CFG_WR53</t>
  </si>
  <si>
    <t>0x0541</t>
  </si>
  <si>
    <t>0x0a</t>
  </si>
  <si>
    <t>SYS_CFG_WR54</t>
  </si>
  <si>
    <t>0x0542</t>
  </si>
  <si>
    <t>SYS_CFG_WR55</t>
  </si>
  <si>
    <t>0x0543</t>
  </si>
  <si>
    <t>REG_SYS_ANA_WR33</t>
  </si>
  <si>
    <t>0x030e</t>
  </si>
  <si>
    <t>REG_SYS_ANA_WR185</t>
  </si>
  <si>
    <t>0x03c4</t>
  </si>
  <si>
    <t>REG_SYS_ANA_WR186</t>
  </si>
  <si>
    <t>0x03c5</t>
  </si>
  <si>
    <t>REG_SYS_ANA_WR187</t>
  </si>
  <si>
    <t>0x03c6</t>
  </si>
  <si>
    <t>REG_SYS_ANA_WR188</t>
  </si>
  <si>
    <t>0x03c7</t>
  </si>
  <si>
    <t>REG_SYS_ANA_WR189</t>
  </si>
  <si>
    <t>0x03c8</t>
  </si>
  <si>
    <t>REG_SYS_ANA_WR190</t>
  </si>
  <si>
    <t>0x03c9</t>
  </si>
  <si>
    <t>0x59</t>
  </si>
  <si>
    <t>REG_SYS_ANA_WR191</t>
  </si>
  <si>
    <t>0x03ca</t>
  </si>
  <si>
    <t>REG_SYS_ANA_WR192</t>
  </si>
  <si>
    <t>0x03cb</t>
  </si>
  <si>
    <t>REG_SYS_ANA_WR193</t>
  </si>
  <si>
    <t>0x03cc</t>
  </si>
  <si>
    <t>REG_GPH</t>
  </si>
  <si>
    <t>FBS_MODE</t>
  </si>
  <si>
    <t>0x0501</t>
  </si>
  <si>
    <t>REG_HBIN</t>
  </si>
  <si>
    <t>0x0801</t>
  </si>
  <si>
    <t>REG_MIRROR</t>
  </si>
  <si>
    <t>0x0609</t>
  </si>
  <si>
    <t>SYS_CFG_WR01</t>
  </si>
  <si>
    <t>0x0503</t>
  </si>
  <si>
    <t>SYS_CFG_WR02</t>
  </si>
  <si>
    <t>0x0504</t>
  </si>
  <si>
    <t>SYS_CFG_WR03</t>
  </si>
  <si>
    <t>0x0505</t>
  </si>
  <si>
    <t>SYS_CFG_WR04</t>
  </si>
  <si>
    <t>0x0506</t>
  </si>
  <si>
    <t>REG_FRAME_LENGTH_LINES_L</t>
  </si>
  <si>
    <t>0xee</t>
  </si>
  <si>
    <t>0xa2</t>
  </si>
  <si>
    <t>REG_FRAME_LENGTH_LINES_H</t>
  </si>
  <si>
    <t>REG_LINE_LENGTH_PCK_L</t>
  </si>
  <si>
    <t>0x050a</t>
  </si>
  <si>
    <t>0xb2</t>
  </si>
  <si>
    <t>0xc8</t>
  </si>
  <si>
    <t>0xb8</t>
  </si>
  <si>
    <t>REG_LINE_LENGTH_PCK_H</t>
  </si>
  <si>
    <t>0x050b</t>
  </si>
  <si>
    <t xml:space="preserve">REG_EXPOSURE_TIME_L </t>
  </si>
  <si>
    <t>REG_EXPOSURE_TIME_H</t>
  </si>
  <si>
    <t>REG_LONG_EXPOSURE_TIME</t>
  </si>
  <si>
    <t>0x050e</t>
  </si>
  <si>
    <t>SYS_CFG_WR05</t>
  </si>
  <si>
    <t>0x050f</t>
  </si>
  <si>
    <t>SYS_CFG_WR06</t>
  </si>
  <si>
    <t>0x0510</t>
  </si>
  <si>
    <t>SYS_CFG_WR07</t>
  </si>
  <si>
    <t>0x0511</t>
  </si>
  <si>
    <t>SYS_CFG_WR08</t>
  </si>
  <si>
    <t>0x0512</t>
  </si>
  <si>
    <t>SYS_CFG_WR09</t>
  </si>
  <si>
    <t>0x0513</t>
  </si>
  <si>
    <t>SYS_CFG_WR10</t>
  </si>
  <si>
    <t>0x0514</t>
  </si>
  <si>
    <t>SYS_CFG_WR11</t>
  </si>
  <si>
    <t>0x0515</t>
  </si>
  <si>
    <t>SYS_CFG_WR12</t>
  </si>
  <si>
    <t>0x0516</t>
  </si>
  <si>
    <t>0xfc</t>
  </si>
  <si>
    <t>SYS_CFG_WR13</t>
  </si>
  <si>
    <t>0x0517</t>
  </si>
  <si>
    <t>SYS_CFG_WR14</t>
  </si>
  <si>
    <t>0x0518</t>
  </si>
  <si>
    <t>0x38</t>
  </si>
  <si>
    <t>0xa0</t>
  </si>
  <si>
    <t>SYS_CFG_WR15</t>
  </si>
  <si>
    <t>0x0519</t>
  </si>
  <si>
    <t>SYS_CFG_WR16</t>
  </si>
  <si>
    <t>0x051a</t>
  </si>
  <si>
    <t>SYS_CFG_WR17</t>
  </si>
  <si>
    <t>0x051b</t>
  </si>
  <si>
    <t xml:space="preserve">REG_ANA_GAIN </t>
  </si>
  <si>
    <t>DIGITAL_GAIN_L</t>
  </si>
  <si>
    <t>0x0526</t>
  </si>
  <si>
    <t xml:space="preserve">DIGITAL_GAIN_H </t>
  </si>
  <si>
    <t>0x0527</t>
  </si>
  <si>
    <t>ISP_CFG_WR08</t>
  </si>
  <si>
    <t>0x0822</t>
  </si>
  <si>
    <t>ISP_CFG_WR09</t>
  </si>
  <si>
    <t>0x0823</t>
  </si>
  <si>
    <t>ISP_CFG_WR10</t>
  </si>
  <si>
    <t>0x0824</t>
  </si>
  <si>
    <t>ISP_CFG_WR11</t>
  </si>
  <si>
    <t>0x0825</t>
  </si>
  <si>
    <t>ISP_CFG_WR12</t>
  </si>
  <si>
    <t>0x0826</t>
  </si>
  <si>
    <t>ISP_CFG_WR13</t>
  </si>
  <si>
    <t>0x0827</t>
  </si>
  <si>
    <t>CROP_START_X_L</t>
  </si>
  <si>
    <t>0x08dc</t>
  </si>
  <si>
    <t>CROP_START_X_H</t>
  </si>
  <si>
    <t>0x08dd</t>
  </si>
  <si>
    <t>CROP_START_Y_L</t>
  </si>
  <si>
    <t>0x08de</t>
  </si>
  <si>
    <t>CROP_START_Y_H</t>
  </si>
  <si>
    <t>0x08df</t>
  </si>
  <si>
    <t>CROP_FRAME_WIDTH_L</t>
  </si>
  <si>
    <t>0x08e0</t>
  </si>
  <si>
    <t xml:space="preserve">CROP_FRAME_WIDTH_H </t>
  </si>
  <si>
    <t>0x08e1</t>
  </si>
  <si>
    <t>CROP_FRAME_HEIGHT_L</t>
  </si>
  <si>
    <t>0x08e2</t>
  </si>
  <si>
    <t>0xe0</t>
  </si>
  <si>
    <t>CROP_FRAME_HEIGHT_H</t>
  </si>
  <si>
    <t>0x08e3</t>
  </si>
  <si>
    <t>MIPI_CFG_WR09</t>
  </si>
  <si>
    <t>0x060c</t>
  </si>
  <si>
    <t>MIPI_CFG_WR10</t>
  </si>
  <si>
    <t>0x060d</t>
  </si>
  <si>
    <t>MIPI_CFG_WR11</t>
  </si>
  <si>
    <t>0x060e</t>
  </si>
  <si>
    <t>0xd8</t>
  </si>
  <si>
    <t>MIPI_CFG_WR12</t>
  </si>
  <si>
    <t>0x060f</t>
  </si>
  <si>
    <t>ISP_CFG_WR66</t>
  </si>
  <si>
    <t>0x08da</t>
  </si>
  <si>
    <t>ISP_CFG_WR00</t>
  </si>
  <si>
    <t>0x0800</t>
  </si>
  <si>
    <t>Fullsize_15fps</t>
  </si>
  <si>
    <t>1080P_15fps</t>
  </si>
  <si>
    <t>1280x960(binning)_30fps</t>
  </si>
  <si>
    <t>1920x1080</t>
  </si>
  <si>
    <t>1280x960</t>
  </si>
  <si>
    <t>0x14</t>
  </si>
  <si>
    <t>0x9e</t>
  </si>
  <si>
    <t>0xb4</t>
  </si>
  <si>
    <t>0x1a</t>
  </si>
  <si>
    <t>0xe2</t>
  </si>
  <si>
    <t>0x0b</t>
  </si>
  <si>
    <t>Fullsize_30fps_colorbar</t>
  </si>
  <si>
    <t>Fullsize_30fps_solid_white</t>
  </si>
  <si>
    <t>Fullsize_30fps_solid_black</t>
  </si>
  <si>
    <t>Fullsize_30fps_solid_red</t>
  </si>
  <si>
    <t>Fullsize_30fps_solid_blue</t>
  </si>
  <si>
    <t>Fullsize_30fps_solid_green</t>
  </si>
  <si>
    <t>Mipi Lane Num</t>
  </si>
  <si>
    <t>lane</t>
  </si>
  <si>
    <t>#TPG</t>
  </si>
  <si>
    <t>TPG_CTRL</t>
  </si>
  <si>
    <t>0x09ec</t>
  </si>
  <si>
    <t>TPG_FRAME_WIDTH_L</t>
  </si>
  <si>
    <t>0x09ed</t>
  </si>
  <si>
    <t xml:space="preserve">TPG_FRAME_WIDTH_H </t>
  </si>
  <si>
    <t>0x09ee</t>
  </si>
  <si>
    <t>TPG_FRAME_HEIGHT_L</t>
  </si>
  <si>
    <t>0x09ef</t>
  </si>
  <si>
    <t xml:space="preserve">TPG_FRAME_HEIGHT_H </t>
  </si>
  <si>
    <t>0x09f0</t>
  </si>
  <si>
    <t>ISP_CFG_WR85</t>
  </si>
  <si>
    <t>0x09f1</t>
  </si>
  <si>
    <t>0x94</t>
  </si>
  <si>
    <t>ISP_CFG_WR86</t>
  </si>
  <si>
    <t>0x09f2</t>
  </si>
  <si>
    <t>ISP_CFG_WR87</t>
  </si>
  <si>
    <t>0x09f3</t>
  </si>
  <si>
    <t>0xcc</t>
  </si>
  <si>
    <t>ISP_CFG_WR88</t>
  </si>
  <si>
    <t>0x09f4</t>
  </si>
  <si>
    <t>0xe9</t>
  </si>
  <si>
    <t>ISP_CFG_WR89</t>
  </si>
  <si>
    <t>0x09f5</t>
  </si>
  <si>
    <t>ISP_CFG_WR90</t>
  </si>
  <si>
    <t>TPG_PATERN_TYPE</t>
  </si>
  <si>
    <t>0x09f7</t>
  </si>
  <si>
    <t>ISP_CFG_WR91</t>
  </si>
  <si>
    <t>0x09f8</t>
  </si>
  <si>
    <t>ISP_CFG_WR92</t>
  </si>
  <si>
    <t>0x09f9</t>
  </si>
  <si>
    <t>ISP_CFG_WR93</t>
  </si>
  <si>
    <t>0x09fa</t>
  </si>
  <si>
    <t>ISP_CFG_WR94</t>
  </si>
  <si>
    <t>0x09fb</t>
  </si>
  <si>
    <t>ISP_CFG_WR95</t>
  </si>
  <si>
    <t>0x09fc</t>
  </si>
  <si>
    <t>ISP_CFG_WR96</t>
  </si>
  <si>
    <t>0x09fd</t>
  </si>
  <si>
    <t>ISP_CFG_WR97</t>
  </si>
  <si>
    <t>0x09fe</t>
  </si>
  <si>
    <t>ISP_CFG_WR98</t>
  </si>
  <si>
    <t>0x09ff</t>
  </si>
  <si>
    <t xml:space="preserve">TPG_COLOR_BAR_PIX_WIDTH_L </t>
  </si>
  <si>
    <t>0x0a00</t>
  </si>
  <si>
    <t>TPG_COLOR_BAR_PIX_WIDTH_H</t>
  </si>
  <si>
    <t>0x0a01</t>
  </si>
  <si>
    <t>ISP_CFG_WR99</t>
  </si>
  <si>
    <t>0x0a03</t>
  </si>
  <si>
    <t>MIPI_CFG_WR04</t>
  </si>
  <si>
    <t>0x0606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</si>
</sst>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b/>
      <sz val="11"/>
      <color rgb="FFFF0000"/>
      <name val="Consolas"/>
      <charset val="134"/>
    </font>
    <font>
      <b/>
      <sz val="11"/>
      <color theme="1"/>
      <name val="Consolas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Consolas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name val="ＭＳ Ｐゴシック"/>
      <charset val="134"/>
    </font>
    <font>
      <b/>
      <sz val="11"/>
      <color rgb="FFFF0000"/>
      <name val="宋体"/>
      <charset val="134"/>
    </font>
    <font>
      <sz val="11"/>
      <name val="ＭＳ Ｐゴシック"/>
      <charset val="128"/>
    </font>
    <font>
      <sz val="10.5"/>
      <color rgb="FF000000"/>
      <name val="等线"/>
      <charset val="134"/>
      <scheme val="minor"/>
    </font>
    <font>
      <sz val="10.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2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30" applyNumberFormat="0" applyAlignment="0" applyProtection="0">
      <alignment vertical="center"/>
    </xf>
    <xf numFmtId="0" fontId="23" fillId="12" borderId="31" applyNumberFormat="0" applyAlignment="0" applyProtection="0">
      <alignment vertical="center"/>
    </xf>
    <xf numFmtId="0" fontId="24" fillId="12" borderId="30" applyNumberFormat="0" applyAlignment="0" applyProtection="0">
      <alignment vertical="center"/>
    </xf>
    <xf numFmtId="0" fontId="25" fillId="13" borderId="32" applyNumberFormat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/>
    <xf numFmtId="0" fontId="11" fillId="0" borderId="0">
      <alignment vertical="center"/>
    </xf>
    <xf numFmtId="0" fontId="0" fillId="0" borderId="0"/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3" xfId="0" applyFont="1" applyFill="1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>
      <alignment vertical="center"/>
    </xf>
    <xf numFmtId="0" fontId="1" fillId="3" borderId="5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0" fillId="5" borderId="9" xfId="0" applyFill="1" applyBorder="1" applyAlignment="1">
      <alignment horizontal="center" vertical="center"/>
    </xf>
    <xf numFmtId="0" fontId="0" fillId="0" borderId="9" xfId="0" applyFont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6" fillId="0" borderId="10" xfId="0" applyFont="1" applyBorder="1">
      <alignment vertical="center"/>
    </xf>
    <xf numFmtId="0" fontId="0" fillId="5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right" vertical="center"/>
    </xf>
    <xf numFmtId="0" fontId="0" fillId="0" borderId="9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3" borderId="9" xfId="0" applyFont="1" applyFill="1" applyBorder="1">
      <alignment vertical="center"/>
    </xf>
    <xf numFmtId="0" fontId="1" fillId="3" borderId="9" xfId="0" applyFont="1" applyFill="1" applyBorder="1">
      <alignment vertical="center"/>
    </xf>
    <xf numFmtId="0" fontId="1" fillId="3" borderId="14" xfId="0" applyFont="1" applyFill="1" applyBorder="1">
      <alignment vertical="center"/>
    </xf>
    <xf numFmtId="0" fontId="1" fillId="3" borderId="15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6" fillId="0" borderId="16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5" xfId="0" applyFont="1" applyFill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9" xfId="0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9" xfId="0" applyFont="1" applyBorder="1" applyAlignment="1">
      <alignment horizontal="left" vertical="center"/>
    </xf>
    <xf numFmtId="0" fontId="6" fillId="0" borderId="4" xfId="0" applyFont="1" applyBorder="1">
      <alignment vertical="center"/>
    </xf>
    <xf numFmtId="0" fontId="5" fillId="4" borderId="7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0" fillId="0" borderId="0" xfId="0" applyFont="1" applyFill="1" applyAlignment="1">
      <alignment horizontal="right" vertical="center"/>
    </xf>
    <xf numFmtId="0" fontId="5" fillId="0" borderId="9" xfId="0" applyFont="1" applyFill="1" applyBorder="1" applyAlignment="1">
      <alignment horizontal="left" vertical="center"/>
    </xf>
    <xf numFmtId="0" fontId="0" fillId="0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1" fillId="0" borderId="0" xfId="49" applyFont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21" xfId="0" applyFont="1" applyBorder="1">
      <alignment vertical="center"/>
    </xf>
    <xf numFmtId="0" fontId="1" fillId="5" borderId="14" xfId="0" applyFont="1" applyFill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5" borderId="1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0" fontId="1" fillId="6" borderId="9" xfId="0" applyFont="1" applyFill="1" applyBorder="1">
      <alignment vertical="center"/>
    </xf>
    <xf numFmtId="0" fontId="6" fillId="0" borderId="9" xfId="0" applyFont="1" applyBorder="1" applyAlignment="1">
      <alignment horizontal="left" vertical="center"/>
    </xf>
    <xf numFmtId="0" fontId="1" fillId="6" borderId="9" xfId="51" applyFont="1" applyFill="1" applyBorder="1" applyAlignment="1">
      <alignment horizontal="center" vertical="center" wrapText="1"/>
    </xf>
    <xf numFmtId="0" fontId="6" fillId="0" borderId="9" xfId="0" applyFont="1" applyFill="1" applyBorder="1">
      <alignment vertical="center"/>
    </xf>
    <xf numFmtId="0" fontId="1" fillId="0" borderId="9" xfId="49" applyFont="1" applyBorder="1" applyAlignment="1">
      <alignment vertical="center"/>
    </xf>
    <xf numFmtId="0" fontId="7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7" borderId="9" xfId="50" applyFont="1" applyFill="1" applyBorder="1" applyAlignment="1">
      <alignment horizontal="center" vertical="center"/>
    </xf>
    <xf numFmtId="0" fontId="9" fillId="8" borderId="9" xfId="5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9" fillId="7" borderId="9" xfId="5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1" fillId="0" borderId="9" xfId="50" applyFont="1" applyFill="1" applyBorder="1" applyAlignment="1">
      <alignment horizontal="center" vertical="center"/>
    </xf>
    <xf numFmtId="0" fontId="11" fillId="7" borderId="9" xfId="50" applyFont="1" applyFill="1" applyBorder="1" applyAlignment="1">
      <alignment horizontal="center" vertical="center"/>
    </xf>
    <xf numFmtId="0" fontId="11" fillId="7" borderId="9" xfId="50" applyFont="1" applyFill="1" applyBorder="1" applyAlignment="1">
      <alignment vertical="center"/>
    </xf>
    <xf numFmtId="0" fontId="11" fillId="8" borderId="9" xfId="50" applyFont="1" applyFill="1" applyBorder="1" applyAlignment="1">
      <alignment vertical="center"/>
    </xf>
    <xf numFmtId="0" fontId="11" fillId="0" borderId="14" xfId="50" applyFont="1" applyFill="1" applyBorder="1" applyAlignment="1">
      <alignment horizontal="left" vertical="center"/>
    </xf>
    <xf numFmtId="0" fontId="11" fillId="0" borderId="23" xfId="50" applyFont="1" applyFill="1" applyBorder="1" applyAlignment="1">
      <alignment horizontal="left" vertical="center"/>
    </xf>
    <xf numFmtId="0" fontId="11" fillId="0" borderId="9" xfId="50" applyFont="1" applyFill="1" applyBorder="1" applyAlignment="1">
      <alignment vertical="center"/>
    </xf>
    <xf numFmtId="0" fontId="11" fillId="0" borderId="0" xfId="50" applyFont="1" applyFill="1" applyBorder="1" applyAlignment="1">
      <alignment horizontal="left" vertical="center"/>
    </xf>
    <xf numFmtId="0" fontId="11" fillId="0" borderId="0" xfId="50" applyFont="1" applyFill="1" applyBorder="1" applyAlignment="1">
      <alignment vertical="center"/>
    </xf>
    <xf numFmtId="0" fontId="11" fillId="8" borderId="14" xfId="50" applyFont="1" applyFill="1" applyBorder="1" applyAlignment="1">
      <alignment horizontal="center" vertical="center"/>
    </xf>
    <xf numFmtId="0" fontId="11" fillId="8" borderId="23" xfId="50" applyFont="1" applyFill="1" applyBorder="1" applyAlignment="1">
      <alignment horizontal="center" vertical="center"/>
    </xf>
    <xf numFmtId="0" fontId="11" fillId="0" borderId="0" xfId="50" applyFont="1" applyFill="1" applyAlignment="1">
      <alignment vertical="center"/>
    </xf>
    <xf numFmtId="0" fontId="11" fillId="8" borderId="9" xfId="50" applyFont="1" applyFill="1" applyBorder="1" applyAlignment="1">
      <alignment vertical="center" wrapText="1"/>
    </xf>
    <xf numFmtId="0" fontId="9" fillId="0" borderId="9" xfId="50" applyFont="1" applyFill="1" applyBorder="1" applyAlignment="1">
      <alignment horizontal="center" vertical="center"/>
    </xf>
    <xf numFmtId="0" fontId="9" fillId="7" borderId="9" xfId="50" applyFont="1" applyFill="1" applyBorder="1" applyAlignment="1">
      <alignment vertical="center"/>
    </xf>
    <xf numFmtId="0" fontId="9" fillId="8" borderId="9" xfId="50" applyFont="1" applyFill="1" applyBorder="1" applyAlignment="1">
      <alignment vertical="center"/>
    </xf>
    <xf numFmtId="0" fontId="9" fillId="8" borderId="9" xfId="50" applyFont="1" applyFill="1" applyBorder="1" applyAlignment="1">
      <alignment vertical="center" wrapText="1"/>
    </xf>
    <xf numFmtId="0" fontId="0" fillId="0" borderId="0" xfId="49"/>
    <xf numFmtId="0" fontId="12" fillId="9" borderId="24" xfId="49" applyFont="1" applyFill="1" applyBorder="1" applyAlignment="1">
      <alignment horizontal="center" vertical="center" wrapText="1"/>
    </xf>
    <xf numFmtId="0" fontId="12" fillId="9" borderId="25" xfId="49" applyFont="1" applyFill="1" applyBorder="1" applyAlignment="1">
      <alignment horizontal="center" vertical="center" wrapText="1"/>
    </xf>
    <xf numFmtId="14" fontId="13" fillId="0" borderId="26" xfId="49" applyNumberFormat="1" applyFont="1" applyBorder="1" applyAlignment="1">
      <alignment horizontal="center" vertical="center" wrapText="1"/>
    </xf>
    <xf numFmtId="14" fontId="13" fillId="0" borderId="8" xfId="49" applyNumberFormat="1" applyFont="1" applyBorder="1" applyAlignment="1">
      <alignment horizontal="center" vertical="center" wrapText="1"/>
    </xf>
    <xf numFmtId="0" fontId="13" fillId="0" borderId="8" xfId="49" applyFont="1" applyBorder="1" applyAlignment="1">
      <alignment horizontal="left" vertical="center" wrapText="1"/>
    </xf>
    <xf numFmtId="0" fontId="6" fillId="0" borderId="9" xfId="0" applyFont="1" applyFill="1" applyBorder="1" applyAlignment="1" quotePrefix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표준 2" xfId="50"/>
    <cellStyle name="常规 2 4 2" xfId="51"/>
  </cellStyles>
  <dxfs count="2">
    <dxf>
      <font>
        <color rgb="FFFF0000"/>
      </font>
    </dxf>
    <dxf>
      <fill>
        <patternFill patternType="solid">
          <bgColor rgb="FFF4F4F4"/>
        </patternFill>
      </fill>
    </dxf>
  </dxfs>
  <tableStyles count="0" defaultTableStyle="TableStyleMedium2" defaultPivotStyle="PivotStyleLight16"/>
  <colors>
    <mruColors>
      <color rgb="00F4F4F4"/>
      <color rgb="00F8F8F8"/>
      <color rgb="00FEFEFE"/>
      <color rgb="00FCFC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79375</xdr:colOff>
      <xdr:row>1</xdr:row>
      <xdr:rowOff>21590</xdr:rowOff>
    </xdr:from>
    <xdr:ext cx="7043420" cy="739775"/>
    <xdr:sp>
      <xdr:nvSpPr>
        <xdr:cNvPr id="2" name="文本框 1"/>
        <xdr:cNvSpPr txBox="1"/>
      </xdr:nvSpPr>
      <xdr:spPr>
        <a:xfrm>
          <a:off x="737235" y="199390"/>
          <a:ext cx="7043420" cy="739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altLang="zh-CN" sz="4000">
              <a:latin typeface="宋体" panose="02010600030101010101" pitchFamily="7" charset="-122"/>
              <a:ea typeface="宋体" panose="02010600030101010101" pitchFamily="7" charset="-122"/>
            </a:rPr>
            <a:t>MT510</a:t>
          </a:r>
          <a:r>
            <a:rPr lang="en-US" altLang="zh-CN" sz="4000" baseline="0">
              <a:latin typeface="宋体" panose="02010600030101010101" pitchFamily="7" charset="-122"/>
              <a:ea typeface="宋体" panose="02010600030101010101" pitchFamily="7" charset="-122"/>
            </a:rPr>
            <a:t> </a:t>
          </a:r>
          <a:r>
            <a:rPr lang="zh-CN" altLang="en-US" sz="4000" baseline="0">
              <a:latin typeface="宋体" panose="02010600030101010101" pitchFamily="7" charset="-122"/>
              <a:ea typeface="宋体" panose="02010600030101010101" pitchFamily="7" charset="-122"/>
            </a:rPr>
            <a:t>参考配置</a:t>
          </a:r>
          <a:endParaRPr lang="en-US" altLang="zh-CN" sz="4000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1:G16"/>
  <sheetViews>
    <sheetView zoomScale="115" zoomScaleNormal="115" topLeftCell="A16" workbookViewId="0">
      <selection activeCell="F24" sqref="F24"/>
    </sheetView>
  </sheetViews>
  <sheetFormatPr defaultColWidth="8.63333333333333" defaultRowHeight="14" outlineLevelCol="6"/>
  <cols>
    <col min="1" max="2" width="8.63333333333333" style="110"/>
    <col min="3" max="3" width="9.25" style="110" customWidth="1"/>
    <col min="4" max="4" width="10.6333333333333" style="110" customWidth="1"/>
    <col min="5" max="5" width="11.1333333333333" style="110" customWidth="1"/>
    <col min="6" max="6" width="43.25" style="110" customWidth="1"/>
    <col min="7" max="7" width="34.5" style="110" customWidth="1"/>
    <col min="8" max="16384" width="8.63333333333333" style="110"/>
  </cols>
  <sheetData>
    <row r="11" ht="14.75"/>
    <row r="12" ht="14.75" spans="4:7">
      <c r="D12" s="111" t="s">
        <v>0</v>
      </c>
      <c r="E12" s="112" t="s">
        <v>1</v>
      </c>
      <c r="F12" s="112" t="s">
        <v>2</v>
      </c>
      <c r="G12" s="112" t="s">
        <v>3</v>
      </c>
    </row>
    <row r="13" ht="20" customHeight="1" spans="4:7">
      <c r="D13" s="113" t="s">
        <v>4</v>
      </c>
      <c r="E13" s="114">
        <v>45496</v>
      </c>
      <c r="F13" s="115" t="s">
        <v>5</v>
      </c>
      <c r="G13" s="115"/>
    </row>
    <row r="14" ht="29" customHeight="1" spans="4:7">
      <c r="D14" s="113" t="s">
        <v>6</v>
      </c>
      <c r="E14" s="114">
        <v>45665</v>
      </c>
      <c r="F14" s="115" t="s">
        <v>7</v>
      </c>
      <c r="G14" s="115"/>
    </row>
    <row r="15" ht="22" customHeight="1" spans="4:7">
      <c r="D15" s="113" t="s">
        <v>8</v>
      </c>
      <c r="E15" s="114">
        <v>45728</v>
      </c>
      <c r="F15" s="115" t="s">
        <v>9</v>
      </c>
      <c r="G15" s="115"/>
    </row>
    <row r="16" ht="21" customHeight="1" spans="4:7">
      <c r="D16" s="113" t="s">
        <v>8</v>
      </c>
      <c r="E16" s="114">
        <v>45890</v>
      </c>
      <c r="F16" s="115" t="s">
        <v>10</v>
      </c>
      <c r="G16" s="115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88"/>
  <sheetViews>
    <sheetView workbookViewId="0">
      <selection activeCell="H87" sqref="H87"/>
    </sheetView>
  </sheetViews>
  <sheetFormatPr defaultColWidth="9" defaultRowHeight="14" outlineLevelCol="4"/>
  <cols>
    <col min="1" max="2" width="9" style="86"/>
    <col min="3" max="3" width="13.25" style="86" customWidth="1"/>
    <col min="4" max="4" width="11.3833333333333" style="86" customWidth="1"/>
    <col min="5" max="5" width="39.75" style="86" customWidth="1"/>
    <col min="6" max="16384" width="9" style="86"/>
  </cols>
  <sheetData>
    <row r="4" s="86" customFormat="1" spans="3:5">
      <c r="C4" s="93" t="s">
        <v>11</v>
      </c>
      <c r="D4" s="93"/>
      <c r="E4" s="93"/>
    </row>
    <row r="5" s="86" customFormat="1" spans="3:5">
      <c r="C5" s="94" t="s">
        <v>12</v>
      </c>
      <c r="D5" s="94"/>
      <c r="E5" s="94" t="s">
        <v>13</v>
      </c>
    </row>
    <row r="6" s="86" customFormat="1" spans="3:5">
      <c r="C6" s="95" t="s">
        <v>14</v>
      </c>
      <c r="D6" s="95" t="s">
        <v>15</v>
      </c>
      <c r="E6" s="94"/>
    </row>
    <row r="7" s="86" customFormat="1" spans="3:5">
      <c r="C7" s="96" t="s">
        <v>16</v>
      </c>
      <c r="D7" s="96" t="s">
        <v>17</v>
      </c>
      <c r="E7" s="96" t="s">
        <v>18</v>
      </c>
    </row>
    <row r="8" s="86" customFormat="1" spans="3:5">
      <c r="C8" s="96" t="s">
        <v>19</v>
      </c>
      <c r="D8" s="96" t="s">
        <v>20</v>
      </c>
      <c r="E8" s="96" t="s">
        <v>21</v>
      </c>
    </row>
    <row r="9" s="86" customFormat="1" spans="3:5">
      <c r="C9" s="97" t="s">
        <v>22</v>
      </c>
      <c r="D9" s="98"/>
      <c r="E9" s="99" t="s">
        <v>23</v>
      </c>
    </row>
    <row r="10" s="86" customFormat="1" spans="3:5">
      <c r="C10" s="97" t="s">
        <v>24</v>
      </c>
      <c r="D10" s="98"/>
      <c r="E10" s="99" t="s">
        <v>25</v>
      </c>
    </row>
    <row r="11" s="86" customFormat="1" spans="3:5">
      <c r="C11" s="97" t="s">
        <v>26</v>
      </c>
      <c r="D11" s="98"/>
      <c r="E11" s="99" t="s">
        <v>27</v>
      </c>
    </row>
    <row r="12" s="86" customFormat="1" spans="3:5">
      <c r="C12" s="100"/>
      <c r="D12" s="100"/>
      <c r="E12" s="101"/>
    </row>
    <row r="13" s="86" customFormat="1" spans="3:5">
      <c r="C13" s="100"/>
      <c r="D13" s="100"/>
      <c r="E13" s="101"/>
    </row>
    <row r="14" s="86" customFormat="1" spans="3:5">
      <c r="C14" s="100"/>
      <c r="D14" s="100"/>
      <c r="E14" s="101"/>
    </row>
    <row r="15" s="86" customFormat="1" spans="3:5">
      <c r="C15" s="93" t="s">
        <v>28</v>
      </c>
      <c r="D15" s="93"/>
      <c r="E15" s="93"/>
    </row>
    <row r="16" s="86" customFormat="1" spans="3:5">
      <c r="C16" s="94" t="s">
        <v>12</v>
      </c>
      <c r="D16" s="94"/>
      <c r="E16" s="94" t="s">
        <v>13</v>
      </c>
    </row>
    <row r="17" s="86" customFormat="1" spans="3:5">
      <c r="C17" s="95" t="s">
        <v>14</v>
      </c>
      <c r="D17" s="95" t="s">
        <v>15</v>
      </c>
      <c r="E17" s="94"/>
    </row>
    <row r="18" s="86" customFormat="1" spans="3:5">
      <c r="C18" s="96" t="s">
        <v>29</v>
      </c>
      <c r="D18" s="96" t="s">
        <v>30</v>
      </c>
      <c r="E18" s="96" t="s">
        <v>31</v>
      </c>
    </row>
    <row r="19" s="86" customFormat="1" spans="3:5">
      <c r="C19" s="102" t="s">
        <v>32</v>
      </c>
      <c r="D19" s="103"/>
      <c r="E19" s="96" t="s">
        <v>33</v>
      </c>
    </row>
    <row r="20" s="86" customFormat="1" spans="3:5">
      <c r="C20" s="96" t="s">
        <v>34</v>
      </c>
      <c r="D20" s="96" t="s">
        <v>35</v>
      </c>
      <c r="E20" s="96" t="s">
        <v>36</v>
      </c>
    </row>
    <row r="21" s="86" customFormat="1" spans="3:5">
      <c r="C21" s="100"/>
      <c r="D21" s="100"/>
      <c r="E21" s="101"/>
    </row>
    <row r="22" s="86" customFormat="1" spans="3:5">
      <c r="C22" s="100"/>
      <c r="D22" s="100"/>
      <c r="E22" s="101"/>
    </row>
    <row r="23" s="86" customFormat="1" spans="3:5">
      <c r="C23" s="100"/>
      <c r="D23" s="100"/>
      <c r="E23" s="101"/>
    </row>
    <row r="24" s="86" customFormat="1" spans="3:5">
      <c r="C24" s="93" t="s">
        <v>37</v>
      </c>
      <c r="D24" s="93"/>
      <c r="E24" s="93"/>
    </row>
    <row r="25" s="86" customFormat="1" spans="3:5">
      <c r="C25" s="94" t="s">
        <v>12</v>
      </c>
      <c r="D25" s="94"/>
      <c r="E25" s="94" t="s">
        <v>13</v>
      </c>
    </row>
    <row r="26" s="86" customFormat="1" spans="3:5">
      <c r="C26" s="95" t="s">
        <v>14</v>
      </c>
      <c r="D26" s="95" t="s">
        <v>15</v>
      </c>
      <c r="E26" s="94"/>
    </row>
    <row r="27" s="86" customFormat="1" spans="3:5">
      <c r="C27" s="96" t="s">
        <v>34</v>
      </c>
      <c r="D27" s="96" t="s">
        <v>38</v>
      </c>
      <c r="E27" s="96" t="s">
        <v>39</v>
      </c>
    </row>
    <row r="28" s="86" customFormat="1" spans="3:5">
      <c r="C28" s="96" t="s">
        <v>29</v>
      </c>
      <c r="D28" s="96" t="s">
        <v>38</v>
      </c>
      <c r="E28" s="96" t="s">
        <v>40</v>
      </c>
    </row>
    <row r="29" s="86" customFormat="1" spans="3:5">
      <c r="C29" s="104"/>
      <c r="D29" s="104"/>
      <c r="E29" s="104"/>
    </row>
    <row r="30" s="86" customFormat="1" spans="3:5">
      <c r="C30" s="104"/>
      <c r="D30" s="104"/>
      <c r="E30" s="104"/>
    </row>
    <row r="31" s="86" customFormat="1" spans="3:5">
      <c r="C31" s="104"/>
      <c r="D31" s="104"/>
      <c r="E31" s="104"/>
    </row>
    <row r="32" s="86" customFormat="1" spans="3:5">
      <c r="C32" s="93" t="s">
        <v>41</v>
      </c>
      <c r="D32" s="93"/>
      <c r="E32" s="93"/>
    </row>
    <row r="33" s="86" customFormat="1" spans="3:5">
      <c r="C33" s="94" t="s">
        <v>12</v>
      </c>
      <c r="D33" s="94"/>
      <c r="E33" s="94" t="s">
        <v>13</v>
      </c>
    </row>
    <row r="34" s="86" customFormat="1" spans="3:5">
      <c r="C34" s="95" t="s">
        <v>14</v>
      </c>
      <c r="D34" s="95" t="s">
        <v>15</v>
      </c>
      <c r="E34" s="94"/>
    </row>
    <row r="35" s="86" customFormat="1" spans="3:5">
      <c r="C35" s="96" t="s">
        <v>42</v>
      </c>
      <c r="D35" s="96" t="s">
        <v>35</v>
      </c>
      <c r="E35" s="96" t="s">
        <v>43</v>
      </c>
    </row>
    <row r="36" s="86" customFormat="1" spans="3:5">
      <c r="C36" s="96" t="s">
        <v>44</v>
      </c>
      <c r="D36" s="96" t="s">
        <v>45</v>
      </c>
      <c r="E36" s="96" t="s">
        <v>46</v>
      </c>
    </row>
    <row r="37" s="86" customFormat="1" spans="3:5">
      <c r="C37" s="96" t="s">
        <v>47</v>
      </c>
      <c r="D37" s="96" t="s">
        <v>48</v>
      </c>
      <c r="E37" s="96" t="s">
        <v>49</v>
      </c>
    </row>
    <row r="38" s="86" customFormat="1" spans="3:5">
      <c r="C38" s="96" t="s">
        <v>50</v>
      </c>
      <c r="D38" s="96" t="s">
        <v>51</v>
      </c>
      <c r="E38" s="96" t="s">
        <v>52</v>
      </c>
    </row>
    <row r="39" s="86" customFormat="1" spans="3:5">
      <c r="C39" s="96" t="s">
        <v>53</v>
      </c>
      <c r="D39" s="96" t="s">
        <v>54</v>
      </c>
      <c r="E39" s="96" t="s">
        <v>55</v>
      </c>
    </row>
    <row r="40" s="86" customFormat="1" spans="3:5">
      <c r="C40" s="96" t="s">
        <v>42</v>
      </c>
      <c r="D40" s="96" t="s">
        <v>38</v>
      </c>
      <c r="E40" s="96" t="s">
        <v>56</v>
      </c>
    </row>
    <row r="41" s="86" customFormat="1" spans="3:5">
      <c r="C41" s="104"/>
      <c r="D41" s="104"/>
      <c r="E41" s="104"/>
    </row>
    <row r="42" s="86" customFormat="1" spans="3:5">
      <c r="C42" s="104"/>
      <c r="D42" s="104"/>
      <c r="E42" s="104"/>
    </row>
    <row r="43" s="86" customFormat="1" spans="3:5">
      <c r="C43" s="104"/>
      <c r="D43" s="104"/>
      <c r="E43" s="104"/>
    </row>
    <row r="44" s="86" customFormat="1" spans="3:5">
      <c r="C44" s="93" t="s">
        <v>57</v>
      </c>
      <c r="D44" s="93"/>
      <c r="E44" s="93"/>
    </row>
    <row r="45" s="86" customFormat="1" spans="3:5">
      <c r="C45" s="94" t="s">
        <v>12</v>
      </c>
      <c r="D45" s="94"/>
      <c r="E45" s="94" t="s">
        <v>13</v>
      </c>
    </row>
    <row r="46" s="86" customFormat="1" spans="3:5">
      <c r="C46" s="95" t="s">
        <v>14</v>
      </c>
      <c r="D46" s="95" t="s">
        <v>15</v>
      </c>
      <c r="E46" s="94"/>
    </row>
    <row r="47" s="86" customFormat="1" spans="3:5">
      <c r="C47" s="96" t="s">
        <v>42</v>
      </c>
      <c r="D47" s="96" t="s">
        <v>35</v>
      </c>
      <c r="E47" s="96" t="s">
        <v>43</v>
      </c>
    </row>
    <row r="48" s="86" customFormat="1" spans="3:5">
      <c r="C48" s="96" t="s">
        <v>58</v>
      </c>
      <c r="D48" s="96" t="s">
        <v>59</v>
      </c>
      <c r="E48" s="96" t="s">
        <v>60</v>
      </c>
    </row>
    <row r="49" s="86" customFormat="1" spans="3:5">
      <c r="C49" s="96" t="s">
        <v>42</v>
      </c>
      <c r="D49" s="96" t="s">
        <v>38</v>
      </c>
      <c r="E49" s="96" t="s">
        <v>56</v>
      </c>
    </row>
    <row r="50" s="86" customFormat="1" spans="3:5">
      <c r="C50" s="104"/>
      <c r="D50" s="104"/>
      <c r="E50" s="104"/>
    </row>
    <row r="51" s="86" customFormat="1" spans="3:5">
      <c r="C51" s="104"/>
      <c r="D51" s="104"/>
      <c r="E51" s="104"/>
    </row>
    <row r="52" s="86" customFormat="1" spans="3:5">
      <c r="C52" s="104"/>
      <c r="D52" s="104"/>
      <c r="E52" s="104"/>
    </row>
    <row r="53" s="86" customFormat="1" spans="3:5">
      <c r="C53" s="93" t="s">
        <v>61</v>
      </c>
      <c r="D53" s="93"/>
      <c r="E53" s="93"/>
    </row>
    <row r="54" s="86" customFormat="1" spans="3:5">
      <c r="C54" s="94" t="s">
        <v>12</v>
      </c>
      <c r="D54" s="94"/>
      <c r="E54" s="94" t="s">
        <v>13</v>
      </c>
    </row>
    <row r="55" s="86" customFormat="1" spans="3:5">
      <c r="C55" s="95" t="s">
        <v>14</v>
      </c>
      <c r="D55" s="95" t="s">
        <v>15</v>
      </c>
      <c r="E55" s="94"/>
    </row>
    <row r="56" s="86" customFormat="1" spans="3:5">
      <c r="C56" s="97" t="s">
        <v>39</v>
      </c>
      <c r="D56" s="98"/>
      <c r="E56" s="99" t="s">
        <v>62</v>
      </c>
    </row>
    <row r="57" s="86" customFormat="1" spans="3:5">
      <c r="C57" s="97" t="s">
        <v>63</v>
      </c>
      <c r="D57" s="98"/>
      <c r="E57" s="99" t="s">
        <v>64</v>
      </c>
    </row>
    <row r="58" s="86" customFormat="1" spans="3:5">
      <c r="C58" s="97" t="s">
        <v>26</v>
      </c>
      <c r="D58" s="98"/>
      <c r="E58" s="99" t="s">
        <v>27</v>
      </c>
    </row>
    <row r="59" s="86" customFormat="1" spans="3:5">
      <c r="C59" s="104"/>
      <c r="D59" s="104"/>
      <c r="E59" s="104"/>
    </row>
    <row r="60" s="86" customFormat="1" spans="3:5">
      <c r="C60" s="104"/>
      <c r="D60" s="104"/>
      <c r="E60" s="104"/>
    </row>
    <row r="61" s="86" customFormat="1" spans="3:5">
      <c r="C61" s="104"/>
      <c r="D61" s="104"/>
      <c r="E61" s="104"/>
    </row>
    <row r="62" s="86" customFormat="1" spans="3:5">
      <c r="C62" s="93" t="s">
        <v>65</v>
      </c>
      <c r="D62" s="93"/>
      <c r="E62" s="93"/>
    </row>
    <row r="63" s="86" customFormat="1" spans="3:5">
      <c r="C63" s="94" t="s">
        <v>12</v>
      </c>
      <c r="D63" s="94"/>
      <c r="E63" s="94" t="s">
        <v>13</v>
      </c>
    </row>
    <row r="64" s="86" customFormat="1" spans="3:5">
      <c r="C64" s="95" t="s">
        <v>14</v>
      </c>
      <c r="D64" s="95" t="s">
        <v>15</v>
      </c>
      <c r="E64" s="94"/>
    </row>
    <row r="65" s="86" customFormat="1" spans="3:5">
      <c r="C65" s="97" t="s">
        <v>39</v>
      </c>
      <c r="D65" s="98"/>
      <c r="E65" s="99" t="s">
        <v>62</v>
      </c>
    </row>
    <row r="66" s="86" customFormat="1" spans="3:5">
      <c r="C66" s="97" t="s">
        <v>66</v>
      </c>
      <c r="D66" s="98"/>
      <c r="E66" s="99" t="s">
        <v>67</v>
      </c>
    </row>
    <row r="67" s="86" customFormat="1" spans="3:5">
      <c r="C67" s="97" t="s">
        <v>26</v>
      </c>
      <c r="D67" s="98"/>
      <c r="E67" s="99" t="s">
        <v>27</v>
      </c>
    </row>
    <row r="71" s="86" customFormat="1" spans="3:5">
      <c r="C71" s="93" t="s">
        <v>68</v>
      </c>
      <c r="D71" s="93"/>
      <c r="E71" s="93"/>
    </row>
    <row r="72" s="86" customFormat="1" spans="3:5">
      <c r="C72" s="94" t="s">
        <v>12</v>
      </c>
      <c r="D72" s="94"/>
      <c r="E72" s="94" t="s">
        <v>13</v>
      </c>
    </row>
    <row r="73" s="86" customFormat="1" spans="3:5">
      <c r="C73" s="95" t="s">
        <v>14</v>
      </c>
      <c r="D73" s="95" t="s">
        <v>15</v>
      </c>
      <c r="E73" s="94"/>
    </row>
    <row r="74" s="86" customFormat="1" spans="3:5">
      <c r="C74" s="96" t="s">
        <v>69</v>
      </c>
      <c r="D74" s="96" t="s">
        <v>35</v>
      </c>
      <c r="E74" s="96" t="s">
        <v>70</v>
      </c>
    </row>
    <row r="75" s="86" customFormat="1" spans="3:5">
      <c r="C75" s="96" t="s">
        <v>71</v>
      </c>
      <c r="D75" s="96" t="s">
        <v>72</v>
      </c>
      <c r="E75" s="96" t="s">
        <v>73</v>
      </c>
    </row>
    <row r="76" s="86" customFormat="1" spans="3:5">
      <c r="C76" s="96" t="s">
        <v>74</v>
      </c>
      <c r="D76" s="96" t="s">
        <v>75</v>
      </c>
      <c r="E76" s="96" t="s">
        <v>76</v>
      </c>
    </row>
    <row r="77" s="86" customFormat="1" spans="3:5">
      <c r="C77" s="96" t="s">
        <v>77</v>
      </c>
      <c r="D77" s="96" t="s">
        <v>78</v>
      </c>
      <c r="E77" s="96" t="s">
        <v>79</v>
      </c>
    </row>
    <row r="78" s="86" customFormat="1" spans="3:5">
      <c r="C78" s="96" t="s">
        <v>80</v>
      </c>
      <c r="D78" s="96" t="s">
        <v>35</v>
      </c>
      <c r="E78" s="96" t="s">
        <v>81</v>
      </c>
    </row>
    <row r="79" s="86" customFormat="1" ht="56.25" customHeight="1" spans="3:5">
      <c r="C79" s="96" t="s">
        <v>82</v>
      </c>
      <c r="D79" s="96" t="s">
        <v>83</v>
      </c>
      <c r="E79" s="105" t="s">
        <v>84</v>
      </c>
    </row>
    <row r="80" s="86" customFormat="1" spans="3:5">
      <c r="C80" s="96" t="s">
        <v>85</v>
      </c>
      <c r="D80" s="96" t="s">
        <v>35</v>
      </c>
      <c r="E80" s="96" t="s">
        <v>86</v>
      </c>
    </row>
    <row r="81" s="86" customFormat="1" spans="3:5">
      <c r="C81" s="96" t="s">
        <v>69</v>
      </c>
      <c r="D81" s="96" t="s">
        <v>38</v>
      </c>
      <c r="E81" s="96" t="s">
        <v>87</v>
      </c>
    </row>
    <row r="85" spans="3:5">
      <c r="C85" s="106" t="s">
        <v>88</v>
      </c>
      <c r="D85" s="106"/>
      <c r="E85" s="106"/>
    </row>
    <row r="86" spans="3:5">
      <c r="C86" s="88" t="s">
        <v>12</v>
      </c>
      <c r="D86" s="88"/>
      <c r="E86" s="88" t="s">
        <v>13</v>
      </c>
    </row>
    <row r="87" spans="3:5">
      <c r="C87" s="107" t="s">
        <v>14</v>
      </c>
      <c r="D87" s="107" t="s">
        <v>15</v>
      </c>
      <c r="E87" s="88"/>
    </row>
    <row r="88" ht="120" spans="3:5">
      <c r="C88" s="108" t="s">
        <v>89</v>
      </c>
      <c r="D88" s="108" t="s">
        <v>90</v>
      </c>
      <c r="E88" s="109" t="s">
        <v>91</v>
      </c>
    </row>
  </sheetData>
  <mergeCells count="37">
    <mergeCell ref="C4:E4"/>
    <mergeCell ref="C5:D5"/>
    <mergeCell ref="C9:D9"/>
    <mergeCell ref="C10:D10"/>
    <mergeCell ref="C11:D11"/>
    <mergeCell ref="C15:E15"/>
    <mergeCell ref="C16:D16"/>
    <mergeCell ref="C19:D19"/>
    <mergeCell ref="C24:E24"/>
    <mergeCell ref="C25:D25"/>
    <mergeCell ref="C32:E32"/>
    <mergeCell ref="C33:D33"/>
    <mergeCell ref="C44:E44"/>
    <mergeCell ref="C45:D45"/>
    <mergeCell ref="C53:E53"/>
    <mergeCell ref="C54:D54"/>
    <mergeCell ref="C56:D56"/>
    <mergeCell ref="C57:D57"/>
    <mergeCell ref="C58:D58"/>
    <mergeCell ref="C62:E62"/>
    <mergeCell ref="C63:D63"/>
    <mergeCell ref="C65:D65"/>
    <mergeCell ref="C66:D66"/>
    <mergeCell ref="C67:D67"/>
    <mergeCell ref="C71:E71"/>
    <mergeCell ref="C72:D72"/>
    <mergeCell ref="C85:E85"/>
    <mergeCell ref="C86:D86"/>
    <mergeCell ref="E5:E6"/>
    <mergeCell ref="E16:E17"/>
    <mergeCell ref="E25:E26"/>
    <mergeCell ref="E33:E34"/>
    <mergeCell ref="E45:E46"/>
    <mergeCell ref="E54:E55"/>
    <mergeCell ref="E63:E64"/>
    <mergeCell ref="E72:E73"/>
    <mergeCell ref="E86:E8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27"/>
  <sheetViews>
    <sheetView tabSelected="1" workbookViewId="0">
      <selection activeCell="E4" sqref="E3:E4"/>
    </sheetView>
  </sheetViews>
  <sheetFormatPr defaultColWidth="9" defaultRowHeight="14"/>
  <cols>
    <col min="1" max="1" width="16.3833333333333" style="86"/>
    <col min="2" max="2" width="16.3833333333333" style="85" customWidth="1"/>
    <col min="3" max="3" width="25" style="85" customWidth="1"/>
    <col min="4" max="4" width="25.3833333333333" style="85" customWidth="1"/>
    <col min="5" max="5" width="28.5" style="85" customWidth="1"/>
    <col min="6" max="6" width="24" style="85" customWidth="1"/>
    <col min="7" max="7" width="18.5" style="85" customWidth="1"/>
    <col min="8" max="8" width="24" style="85" customWidth="1"/>
    <col min="9" max="9" width="20" style="85" customWidth="1"/>
    <col min="10" max="16384" width="9" style="85"/>
  </cols>
  <sheetData>
    <row r="4" s="85" customFormat="1" spans="2:5">
      <c r="B4" s="87" t="s">
        <v>92</v>
      </c>
    </row>
    <row r="5" s="85" customFormat="1" spans="2:5">
      <c r="B5" s="88" t="s">
        <v>93</v>
      </c>
      <c r="C5" s="88" t="s">
        <v>94</v>
      </c>
      <c r="D5" s="88" t="s">
        <v>95</v>
      </c>
    </row>
    <row r="6" s="85" customFormat="1" spans="2:5">
      <c r="B6" s="89">
        <v>88.8</v>
      </c>
      <c r="C6" s="89" t="s">
        <v>96</v>
      </c>
      <c r="D6" s="89" t="s">
        <v>97</v>
      </c>
    </row>
    <row r="7" s="85" customFormat="1" spans="2:5">
      <c r="B7" s="89"/>
      <c r="C7" s="89">
        <v>2916</v>
      </c>
      <c r="D7" s="89">
        <f>HEX2DEC(D6)</f>
        <v>2030</v>
      </c>
    </row>
    <row r="8" s="85" customFormat="1"/>
    <row r="9" s="85" customFormat="1" spans="2:5">
      <c r="B9" s="87" t="s">
        <v>98</v>
      </c>
    </row>
    <row r="10" s="85" customFormat="1" spans="2:5">
      <c r="C10" s="88" t="s">
        <v>99</v>
      </c>
      <c r="D10" s="88" t="s">
        <v>100</v>
      </c>
      <c r="E10" s="87" t="s">
        <v>101</v>
      </c>
    </row>
    <row r="11" s="85" customFormat="1" spans="2:5">
      <c r="C11" s="89">
        <v>50</v>
      </c>
      <c r="D11" s="89">
        <v>1.125</v>
      </c>
      <c r="E11" s="90" t="s">
        <v>102</v>
      </c>
    </row>
    <row r="12" s="85" customFormat="1"/>
    <row r="13" s="85" customFormat="1"/>
    <row r="14" s="85" customFormat="1" spans="2:5">
      <c r="B14" s="87" t="s">
        <v>103</v>
      </c>
    </row>
    <row r="15" s="85" customFormat="1" spans="2:5">
      <c r="B15" s="91" t="s">
        <v>104</v>
      </c>
      <c r="C15" s="91"/>
      <c r="D15" s="91"/>
      <c r="E15" s="89" t="str">
        <f>IF(D20="Not Support","Not Support",HEX2DEC(H20)*C17/1000&amp;" ms")</f>
        <v>49.9791891891892 ms</v>
      </c>
    </row>
    <row r="16" s="85" customFormat="1" spans="2:5">
      <c r="C16" s="88" t="s">
        <v>105</v>
      </c>
    </row>
    <row r="17" s="85" customFormat="1" spans="3:9">
      <c r="C17" s="89">
        <f>HEX2DEC(C6)/B6</f>
        <v>16.4189189189189</v>
      </c>
      <c r="D17" s="92"/>
      <c r="E17" s="92"/>
      <c r="F17" s="92"/>
      <c r="G17" s="92"/>
      <c r="H17" s="92"/>
    </row>
    <row r="18" s="85" customFormat="1" spans="3:9">
      <c r="C18" s="92"/>
      <c r="D18" s="92"/>
      <c r="E18" s="92"/>
      <c r="F18" s="92"/>
      <c r="G18" s="92"/>
      <c r="H18" s="92"/>
    </row>
    <row r="19" s="85" customFormat="1" spans="3:9">
      <c r="C19" s="88" t="s">
        <v>106</v>
      </c>
      <c r="D19" s="88" t="s">
        <v>107</v>
      </c>
      <c r="E19" s="88" t="s">
        <v>108</v>
      </c>
      <c r="F19" s="88" t="s">
        <v>109</v>
      </c>
      <c r="H19" s="88" t="s">
        <v>110</v>
      </c>
      <c r="I19" s="88" t="s">
        <v>111</v>
      </c>
    </row>
    <row r="20" s="85" customFormat="1" spans="3:9">
      <c r="C20" s="89" t="str">
        <f>C6</f>
        <v>5b2</v>
      </c>
      <c r="D20" s="89" t="str">
        <f>IF(C11&lt;(HEX2DEC(D6)-6)*C17/1000,D6,IF(C11&lt;(HEX2DEC("FFFE")-6)*C17/1000,DEC2HEX(HEX2DEC(E20)+6),"Not Support"))</f>
        <v>BEA</v>
      </c>
      <c r="E20" s="89" t="str">
        <f>IF(EVEN(C11*1000/C17)+4&gt;HEX2DEC("FFFE"),"Not Support",DEC2HEX(EVEN(C11*1000/C17)-2))</f>
        <v>BE4</v>
      </c>
      <c r="F20" s="89">
        <f>IF(E20="Not Support","Not Support",HEX2DEC(E20)*C17/1000)</f>
        <v>49.9791891891892</v>
      </c>
      <c r="H20" s="89" t="str">
        <f>IF(D20="Not Support","Not Support",DEC2HEX(HEX2DEC(D20)-6))</f>
        <v>BE4</v>
      </c>
      <c r="I20" s="89" t="str">
        <f>2*C17&amp;" us"</f>
        <v>32.8378378378378 us</v>
      </c>
    </row>
    <row r="21" s="85" customFormat="1" spans="3:9">
      <c r="C21" s="92"/>
      <c r="D21" s="92"/>
      <c r="E21" s="92"/>
      <c r="F21" s="92"/>
      <c r="G21" s="92"/>
      <c r="H21" s="92"/>
    </row>
    <row r="22" s="85" customFormat="1" spans="3:9">
      <c r="C22" s="92"/>
      <c r="D22" s="92"/>
      <c r="F22" s="92"/>
      <c r="G22" s="92"/>
      <c r="H22" s="92"/>
    </row>
    <row r="23" s="85" customFormat="1" spans="3:9">
      <c r="C23" s="88" t="s">
        <v>112</v>
      </c>
      <c r="D23" s="88" t="s">
        <v>113</v>
      </c>
      <c r="F23" s="92"/>
      <c r="G23" s="92"/>
      <c r="H23" s="92"/>
    </row>
    <row r="24" s="85" customFormat="1" spans="3:9">
      <c r="C24" s="89" t="str">
        <f>DEC2HEX(16*D11-16)</f>
        <v>2</v>
      </c>
      <c r="D24" s="89" t="str">
        <f>(HEX2DEC(C24)+16)/16&amp;"x"</f>
        <v>1.125x</v>
      </c>
      <c r="F24" s="92"/>
      <c r="G24" s="92"/>
      <c r="H24" s="92"/>
    </row>
    <row r="27" spans="3:9">
      <c r="C27" s="85" t="s">
        <v>114</v>
      </c>
      <c r="D27" s="85">
        <f>B6/C7/D7*1000000</f>
        <v>15.00131768331</v>
      </c>
    </row>
  </sheetData>
  <conditionalFormatting sqref="B6:D6">
    <cfRule type="containsText" dxfId="0" priority="10" operator="between" text="Not Support">
      <formula>NOT(ISERROR(SEARCH("Not Support",B6)))</formula>
    </cfRule>
  </conditionalFormatting>
  <conditionalFormatting sqref="B7:D7">
    <cfRule type="containsText" dxfId="0" priority="9" operator="between" text="Not Support">
      <formula>NOT(ISERROR(SEARCH("Not Support",B7)))</formula>
    </cfRule>
  </conditionalFormatting>
  <conditionalFormatting sqref="C11">
    <cfRule type="containsText" dxfId="0" priority="8" operator="between" text="Not Support">
      <formula>NOT(ISERROR(SEARCH("Not Support",C11)))</formula>
    </cfRule>
  </conditionalFormatting>
  <conditionalFormatting sqref="D11">
    <cfRule type="containsText" dxfId="0" priority="7" operator="between" text="Not Support">
      <formula>NOT(ISERROR(SEARCH("Not Support",D11)))</formula>
    </cfRule>
  </conditionalFormatting>
  <conditionalFormatting sqref="E15">
    <cfRule type="containsText" dxfId="0" priority="6" operator="between" text="Not Support">
      <formula>NOT(ISERROR(SEARCH("Not Support",E15)))</formula>
    </cfRule>
  </conditionalFormatting>
  <conditionalFormatting sqref="C17">
    <cfRule type="containsText" dxfId="0" priority="5" operator="between" text="Not Support">
      <formula>NOT(ISERROR(SEARCH("Not Support",C17)))</formula>
    </cfRule>
  </conditionalFormatting>
  <conditionalFormatting sqref="C20:F20">
    <cfRule type="containsText" dxfId="0" priority="4" operator="between" text="Not Support">
      <formula>NOT(ISERROR(SEARCH("Not Support",C20)))</formula>
    </cfRule>
  </conditionalFormatting>
  <conditionalFormatting sqref="H20:I20">
    <cfRule type="containsText" dxfId="0" priority="3" operator="between" text="Not Support">
      <formula>NOT(ISERROR(SEARCH("Not Support",H20)))</formula>
    </cfRule>
  </conditionalFormatting>
  <conditionalFormatting sqref="C24:D24">
    <cfRule type="containsText" dxfId="0" priority="2" operator="between" text="Not Support">
      <formula>NOT(ISERROR(SEARCH("Not Support",C24)))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C3:L352"/>
  <sheetViews>
    <sheetView zoomScale="85" zoomScaleNormal="85" workbookViewId="0">
      <selection activeCell="J8" sqref="J8"/>
    </sheetView>
  </sheetViews>
  <sheetFormatPr defaultColWidth="9" defaultRowHeight="14.5"/>
  <cols>
    <col min="1" max="2" width="21.1333333333333" style="1" customWidth="1"/>
    <col min="3" max="3" width="23.1333333333333" style="1" customWidth="1"/>
    <col min="4" max="4" width="31.3833333333333" style="1" customWidth="1"/>
    <col min="5" max="5" width="17.75" style="1" customWidth="1"/>
    <col min="6" max="6" width="16.6333333333333" style="2" customWidth="1"/>
    <col min="7" max="7" width="11.1333333333333" style="1" customWidth="1" outlineLevel="1"/>
    <col min="8" max="8" width="11.25" style="1" customWidth="1" outlineLevel="1"/>
    <col min="9" max="9" width="13" style="1" customWidth="1" outlineLevel="1"/>
    <col min="10" max="10" width="11.1333333333333" style="1" customWidth="1" outlineLevel="1"/>
    <col min="11" max="11" width="11.25" style="1" customWidth="1" outlineLevel="1"/>
    <col min="12" max="12" width="13" style="1" customWidth="1" outlineLevel="1"/>
    <col min="13" max="16384" width="9" style="1"/>
  </cols>
  <sheetData>
    <row r="3" ht="20.25" customHeight="1" spans="3:12">
      <c r="C3" s="3" t="s">
        <v>2</v>
      </c>
      <c r="D3" s="4" t="s">
        <v>115</v>
      </c>
      <c r="E3" s="4"/>
      <c r="F3" s="4"/>
      <c r="G3" s="4"/>
      <c r="H3" s="4"/>
      <c r="I3" s="4"/>
      <c r="J3" s="4"/>
      <c r="K3" s="4"/>
      <c r="L3" s="4"/>
    </row>
    <row r="4" spans="3:12">
      <c r="C4" s="6"/>
      <c r="D4" s="7" t="s">
        <v>116</v>
      </c>
      <c r="E4" s="6"/>
      <c r="F4" s="7"/>
      <c r="G4" s="6"/>
      <c r="H4" s="6"/>
      <c r="I4" s="6"/>
      <c r="J4" s="6"/>
      <c r="K4" s="6"/>
      <c r="L4" s="6"/>
    </row>
    <row r="5" ht="33.75" customHeight="1" spans="3:12">
      <c r="C5" s="10"/>
      <c r="D5" s="11"/>
      <c r="E5" s="11"/>
      <c r="F5" s="63" t="s">
        <v>117</v>
      </c>
      <c r="G5" s="64" t="s">
        <v>118</v>
      </c>
      <c r="H5" s="65"/>
      <c r="I5" s="66"/>
      <c r="J5" s="64" t="s">
        <v>119</v>
      </c>
      <c r="K5" s="65"/>
      <c r="L5" s="66"/>
    </row>
    <row r="6" ht="18" customHeight="1" spans="3:12">
      <c r="C6" s="16"/>
      <c r="D6" s="16"/>
      <c r="E6" s="16"/>
      <c r="F6" s="67" t="s">
        <v>120</v>
      </c>
      <c r="G6" s="68">
        <v>24</v>
      </c>
      <c r="H6" s="69" t="s">
        <v>121</v>
      </c>
      <c r="I6" s="70"/>
      <c r="J6" s="68">
        <v>24</v>
      </c>
      <c r="K6" s="69" t="s">
        <v>121</v>
      </c>
      <c r="L6" s="70"/>
    </row>
    <row r="7" ht="18" customHeight="1" spans="3:12">
      <c r="C7" s="16"/>
      <c r="D7" s="16"/>
      <c r="E7" s="16"/>
      <c r="F7" s="71" t="s">
        <v>122</v>
      </c>
      <c r="G7" s="72">
        <v>2</v>
      </c>
      <c r="H7" s="54" t="s">
        <v>122</v>
      </c>
      <c r="I7" s="24"/>
      <c r="J7" s="72">
        <v>1</v>
      </c>
      <c r="K7" s="54" t="s">
        <v>122</v>
      </c>
      <c r="L7" s="24"/>
    </row>
    <row r="8" ht="18" customHeight="1" spans="3:12">
      <c r="C8" s="16"/>
      <c r="D8" s="16"/>
      <c r="E8" s="16"/>
      <c r="F8" s="71" t="s">
        <v>123</v>
      </c>
      <c r="G8" s="72">
        <v>888</v>
      </c>
      <c r="H8" s="54" t="s">
        <v>124</v>
      </c>
      <c r="I8" s="24"/>
      <c r="J8" s="72">
        <v>888</v>
      </c>
      <c r="K8" s="54" t="s">
        <v>124</v>
      </c>
      <c r="L8" s="24"/>
    </row>
    <row r="9" ht="18" customHeight="1" spans="3:12">
      <c r="C9" s="16"/>
      <c r="D9" s="16"/>
      <c r="E9" s="16"/>
      <c r="F9" s="71"/>
      <c r="G9" s="42"/>
      <c r="H9" s="50"/>
      <c r="I9" s="24"/>
      <c r="J9" s="42"/>
      <c r="K9" s="50"/>
      <c r="L9" s="24"/>
    </row>
    <row r="10" ht="18" customHeight="1" spans="3:12">
      <c r="C10" s="16"/>
      <c r="D10" s="16"/>
      <c r="E10" s="16"/>
      <c r="F10" s="73"/>
      <c r="G10" s="42"/>
      <c r="H10" s="50"/>
      <c r="I10" s="24"/>
      <c r="J10" s="42"/>
      <c r="K10" s="50"/>
      <c r="L10" s="24"/>
    </row>
    <row r="11" ht="27.75" customHeight="1" spans="3:12">
      <c r="C11" s="29" t="s">
        <v>125</v>
      </c>
      <c r="D11" s="30" t="s">
        <v>126</v>
      </c>
      <c r="E11" s="30" t="s">
        <v>127</v>
      </c>
      <c r="F11" s="30" t="s">
        <v>128</v>
      </c>
      <c r="G11" s="74" t="s">
        <v>129</v>
      </c>
      <c r="H11" s="30" t="s">
        <v>130</v>
      </c>
      <c r="I11" s="32" t="s">
        <v>131</v>
      </c>
      <c r="J11" s="74" t="s">
        <v>129</v>
      </c>
      <c r="K11" s="30" t="s">
        <v>130</v>
      </c>
      <c r="L11" s="32" t="s">
        <v>131</v>
      </c>
    </row>
    <row r="12" spans="3:12">
      <c r="C12" s="34" t="s">
        <v>132</v>
      </c>
      <c r="D12" s="75"/>
      <c r="E12" s="76"/>
      <c r="F12" s="77"/>
      <c r="G12" s="78"/>
      <c r="H12" s="75"/>
      <c r="I12" s="79"/>
      <c r="J12" s="78"/>
      <c r="K12" s="75"/>
      <c r="L12" s="79"/>
    </row>
    <row r="13" spans="3:12">
      <c r="C13" s="47"/>
      <c r="D13" s="16" t="s">
        <v>133</v>
      </c>
      <c r="E13" s="50" t="s">
        <v>134</v>
      </c>
      <c r="F13" s="49" t="s">
        <v>135</v>
      </c>
      <c r="G13" s="42" t="s">
        <v>38</v>
      </c>
      <c r="H13" s="16"/>
      <c r="I13" s="24"/>
      <c r="J13" s="42" t="s">
        <v>38</v>
      </c>
      <c r="K13" s="16"/>
      <c r="L13" s="24"/>
    </row>
    <row r="14" spans="3:12">
      <c r="C14" s="47"/>
      <c r="D14" s="16" t="s">
        <v>136</v>
      </c>
      <c r="E14" s="50" t="s">
        <v>137</v>
      </c>
      <c r="F14" s="49" t="s">
        <v>138</v>
      </c>
      <c r="G14" s="42" t="s">
        <v>38</v>
      </c>
      <c r="H14" s="16"/>
      <c r="I14" s="24"/>
      <c r="J14" s="42" t="s">
        <v>38</v>
      </c>
      <c r="K14" s="16"/>
      <c r="L14" s="24"/>
    </row>
    <row r="15" ht="15" customHeight="1" spans="3:12">
      <c r="C15" s="80"/>
      <c r="D15" s="16" t="s">
        <v>139</v>
      </c>
      <c r="E15" s="50" t="s">
        <v>140</v>
      </c>
      <c r="F15" s="49" t="s">
        <v>90</v>
      </c>
      <c r="G15" s="42" t="s">
        <v>141</v>
      </c>
      <c r="H15" s="16"/>
      <c r="I15" s="24"/>
      <c r="J15" s="42" t="s">
        <v>141</v>
      </c>
      <c r="K15" s="16"/>
      <c r="L15" s="24"/>
    </row>
    <row r="16" spans="3:12">
      <c r="C16" s="47"/>
      <c r="D16" s="16" t="s">
        <v>142</v>
      </c>
      <c r="E16" s="50" t="s">
        <v>143</v>
      </c>
      <c r="F16" s="49" t="s">
        <v>144</v>
      </c>
      <c r="G16" s="42" t="s">
        <v>145</v>
      </c>
      <c r="H16" s="16"/>
      <c r="I16" s="24"/>
      <c r="J16" s="42" t="s">
        <v>145</v>
      </c>
      <c r="K16" s="16"/>
      <c r="L16" s="24"/>
    </row>
    <row r="17" ht="15" customHeight="1" spans="3:12">
      <c r="C17" s="47"/>
      <c r="D17" s="16" t="s">
        <v>146</v>
      </c>
      <c r="E17" s="50" t="s">
        <v>147</v>
      </c>
      <c r="F17" s="49" t="s">
        <v>148</v>
      </c>
      <c r="G17" s="42" t="s">
        <v>149</v>
      </c>
      <c r="H17" s="16"/>
      <c r="I17" s="24"/>
      <c r="J17" s="42" t="s">
        <v>149</v>
      </c>
      <c r="K17" s="16"/>
      <c r="L17" s="24"/>
    </row>
    <row r="18" ht="15" customHeight="1" spans="3:12">
      <c r="C18" s="47"/>
      <c r="D18" s="16" t="s">
        <v>150</v>
      </c>
      <c r="E18" s="50" t="s">
        <v>151</v>
      </c>
      <c r="F18" s="49" t="s">
        <v>152</v>
      </c>
      <c r="G18" s="42" t="s">
        <v>153</v>
      </c>
      <c r="H18" s="16"/>
      <c r="I18" s="24"/>
      <c r="J18" s="42" t="s">
        <v>153</v>
      </c>
      <c r="K18" s="16"/>
      <c r="L18" s="24"/>
    </row>
    <row r="19" ht="15" customHeight="1" spans="3:12">
      <c r="C19" s="47"/>
      <c r="D19" s="16" t="s">
        <v>154</v>
      </c>
      <c r="E19" s="50" t="s">
        <v>155</v>
      </c>
      <c r="F19" s="49" t="s">
        <v>156</v>
      </c>
      <c r="G19" s="42" t="s">
        <v>90</v>
      </c>
      <c r="H19" s="16"/>
      <c r="I19" s="24"/>
      <c r="J19" s="42" t="s">
        <v>90</v>
      </c>
      <c r="K19" s="16"/>
      <c r="L19" s="24"/>
    </row>
    <row r="20" spans="3:12">
      <c r="C20" s="47"/>
      <c r="D20" s="16" t="s">
        <v>157</v>
      </c>
      <c r="E20" s="50" t="s">
        <v>158</v>
      </c>
      <c r="F20" s="49" t="s">
        <v>148</v>
      </c>
      <c r="G20" s="42" t="s">
        <v>17</v>
      </c>
      <c r="H20" s="16"/>
      <c r="I20" s="24"/>
      <c r="J20" s="42" t="s">
        <v>17</v>
      </c>
      <c r="K20" s="16"/>
      <c r="L20" s="24"/>
    </row>
    <row r="21" ht="15" customHeight="1" spans="3:12">
      <c r="C21" s="47"/>
      <c r="D21" s="16" t="s">
        <v>159</v>
      </c>
      <c r="E21" s="50" t="s">
        <v>160</v>
      </c>
      <c r="F21" s="49" t="s">
        <v>17</v>
      </c>
      <c r="G21" s="42" t="s">
        <v>161</v>
      </c>
      <c r="H21" s="16"/>
      <c r="I21" s="24"/>
      <c r="J21" s="42" t="s">
        <v>161</v>
      </c>
      <c r="K21" s="16"/>
      <c r="L21" s="24"/>
    </row>
    <row r="22" spans="3:12">
      <c r="C22" s="47"/>
      <c r="D22" s="16" t="s">
        <v>162</v>
      </c>
      <c r="E22" s="50" t="s">
        <v>163</v>
      </c>
      <c r="F22" s="49" t="s">
        <v>38</v>
      </c>
      <c r="G22" s="42" t="s">
        <v>38</v>
      </c>
      <c r="H22" s="16"/>
      <c r="I22" s="24"/>
      <c r="J22" s="42" t="s">
        <v>38</v>
      </c>
      <c r="K22" s="16"/>
      <c r="L22" s="24"/>
    </row>
    <row r="23" ht="15" customHeight="1" spans="3:12">
      <c r="C23" s="47"/>
      <c r="D23" s="16" t="s">
        <v>164</v>
      </c>
      <c r="E23" s="50" t="s">
        <v>165</v>
      </c>
      <c r="F23" s="49" t="s">
        <v>166</v>
      </c>
      <c r="G23" s="42" t="s">
        <v>166</v>
      </c>
      <c r="H23" s="16"/>
      <c r="I23" s="24"/>
      <c r="J23" s="42" t="s">
        <v>166</v>
      </c>
      <c r="K23" s="16"/>
      <c r="L23" s="24"/>
    </row>
    <row r="24" ht="15" customHeight="1" spans="3:12">
      <c r="C24" s="47"/>
      <c r="D24" s="16" t="s">
        <v>167</v>
      </c>
      <c r="E24" s="50" t="s">
        <v>168</v>
      </c>
      <c r="F24" s="49" t="s">
        <v>169</v>
      </c>
      <c r="G24" s="42" t="s">
        <v>170</v>
      </c>
      <c r="H24" s="16"/>
      <c r="I24" s="24"/>
      <c r="J24" s="42" t="s">
        <v>170</v>
      </c>
      <c r="K24" s="16"/>
      <c r="L24" s="24"/>
    </row>
    <row r="25" ht="15" customHeight="1" spans="3:12">
      <c r="C25" s="47"/>
      <c r="D25" s="16" t="s">
        <v>171</v>
      </c>
      <c r="E25" s="50" t="s">
        <v>172</v>
      </c>
      <c r="F25" s="49" t="s">
        <v>173</v>
      </c>
      <c r="G25" s="42" t="s">
        <v>174</v>
      </c>
      <c r="H25" s="16"/>
      <c r="I25" s="24"/>
      <c r="J25" s="42" t="s">
        <v>174</v>
      </c>
      <c r="K25" s="16"/>
      <c r="L25" s="24"/>
    </row>
    <row r="26" ht="15" customHeight="1" spans="3:12">
      <c r="C26" s="47"/>
      <c r="D26" s="16" t="s">
        <v>175</v>
      </c>
      <c r="E26" s="50" t="s">
        <v>176</v>
      </c>
      <c r="F26" s="49" t="s">
        <v>35</v>
      </c>
      <c r="G26" s="42" t="s">
        <v>35</v>
      </c>
      <c r="H26" s="16"/>
      <c r="I26" s="24"/>
      <c r="J26" s="42" t="s">
        <v>35</v>
      </c>
      <c r="K26" s="16"/>
      <c r="L26" s="24"/>
    </row>
    <row r="27" ht="15" customHeight="1" spans="3:12">
      <c r="C27" s="47"/>
      <c r="D27" s="16" t="s">
        <v>177</v>
      </c>
      <c r="E27" s="50" t="s">
        <v>178</v>
      </c>
      <c r="F27" s="49" t="s">
        <v>179</v>
      </c>
      <c r="G27" s="42" t="s">
        <v>179</v>
      </c>
      <c r="H27" s="16"/>
      <c r="I27" s="24"/>
      <c r="J27" s="42" t="s">
        <v>179</v>
      </c>
      <c r="K27" s="16"/>
      <c r="L27" s="24"/>
    </row>
    <row r="28" ht="15" customHeight="1" spans="3:12">
      <c r="C28" s="47"/>
      <c r="D28" s="16" t="s">
        <v>180</v>
      </c>
      <c r="E28" s="50" t="s">
        <v>181</v>
      </c>
      <c r="F28" s="49" t="s">
        <v>179</v>
      </c>
      <c r="G28" s="42" t="s">
        <v>179</v>
      </c>
      <c r="H28" s="16"/>
      <c r="I28" s="24"/>
      <c r="J28" s="42" t="s">
        <v>179</v>
      </c>
      <c r="K28" s="16"/>
      <c r="L28" s="24"/>
    </row>
    <row r="29" spans="3:12">
      <c r="C29" s="16"/>
      <c r="D29" s="16" t="s">
        <v>182</v>
      </c>
      <c r="E29" s="50" t="s">
        <v>183</v>
      </c>
      <c r="F29" s="49" t="s">
        <v>38</v>
      </c>
      <c r="G29" s="42" t="s">
        <v>179</v>
      </c>
      <c r="H29" s="16"/>
      <c r="I29" s="24"/>
      <c r="J29" s="42" t="s">
        <v>179</v>
      </c>
      <c r="K29" s="16"/>
      <c r="L29" s="24"/>
    </row>
    <row r="30" ht="15" customHeight="1" spans="3:12">
      <c r="C30" s="16"/>
      <c r="D30" s="16" t="s">
        <v>184</v>
      </c>
      <c r="E30" s="50" t="s">
        <v>185</v>
      </c>
      <c r="F30" s="49" t="s">
        <v>38</v>
      </c>
      <c r="G30" s="42" t="s">
        <v>179</v>
      </c>
      <c r="H30" s="16"/>
      <c r="I30" s="24"/>
      <c r="J30" s="42" t="s">
        <v>179</v>
      </c>
      <c r="K30" s="16"/>
      <c r="L30" s="24"/>
    </row>
    <row r="31" ht="15" customHeight="1" spans="3:12">
      <c r="C31" s="16"/>
      <c r="D31" s="16" t="s">
        <v>186</v>
      </c>
      <c r="E31" s="50" t="s">
        <v>187</v>
      </c>
      <c r="F31" s="49" t="s">
        <v>188</v>
      </c>
      <c r="G31" s="42" t="s">
        <v>189</v>
      </c>
      <c r="H31" s="16"/>
      <c r="I31" s="24"/>
      <c r="J31" s="42" t="s">
        <v>189</v>
      </c>
      <c r="K31" s="16"/>
      <c r="L31" s="24"/>
    </row>
    <row r="32" ht="15" customHeight="1" spans="3:12">
      <c r="C32" s="16"/>
      <c r="D32" s="45" t="s">
        <v>190</v>
      </c>
      <c r="E32" s="48" t="s">
        <v>191</v>
      </c>
      <c r="F32" s="49" t="s">
        <v>38</v>
      </c>
      <c r="G32" s="42" t="s">
        <v>35</v>
      </c>
      <c r="H32" s="50"/>
      <c r="I32" s="51"/>
      <c r="J32" s="42" t="s">
        <v>35</v>
      </c>
      <c r="K32" s="16"/>
      <c r="L32" s="51"/>
    </row>
    <row r="33" ht="15" customHeight="1" spans="3:12">
      <c r="C33" s="16"/>
      <c r="D33" s="81" t="s">
        <v>192</v>
      </c>
      <c r="E33" s="50" t="s">
        <v>193</v>
      </c>
      <c r="F33" s="49" t="s">
        <v>35</v>
      </c>
      <c r="G33" s="42" t="s">
        <v>90</v>
      </c>
      <c r="H33" s="16"/>
      <c r="I33" s="24"/>
      <c r="J33" s="42" t="s">
        <v>90</v>
      </c>
      <c r="K33" s="16"/>
      <c r="L33" s="24"/>
    </row>
    <row r="34" ht="15" customHeight="1" spans="3:12">
      <c r="C34" s="16"/>
      <c r="D34" s="81" t="s">
        <v>194</v>
      </c>
      <c r="E34" s="50" t="s">
        <v>195</v>
      </c>
      <c r="F34" s="49" t="s">
        <v>196</v>
      </c>
      <c r="G34" s="42" t="s">
        <v>196</v>
      </c>
      <c r="H34" s="16"/>
      <c r="I34" s="24"/>
      <c r="J34" s="42" t="s">
        <v>196</v>
      </c>
      <c r="K34" s="16"/>
      <c r="L34" s="24"/>
    </row>
    <row r="35" spans="3:12">
      <c r="C35" s="16"/>
      <c r="D35" s="81" t="s">
        <v>197</v>
      </c>
      <c r="E35" s="50" t="s">
        <v>198</v>
      </c>
      <c r="F35" s="49" t="s">
        <v>38</v>
      </c>
      <c r="G35" s="42" t="s">
        <v>38</v>
      </c>
      <c r="H35" s="16"/>
      <c r="I35" s="24"/>
      <c r="J35" s="42" t="s">
        <v>38</v>
      </c>
      <c r="K35" s="16"/>
      <c r="L35" s="24"/>
    </row>
    <row r="36" ht="15" customHeight="1" spans="3:12">
      <c r="C36" s="16"/>
      <c r="D36" s="81" t="s">
        <v>199</v>
      </c>
      <c r="E36" s="50" t="s">
        <v>200</v>
      </c>
      <c r="F36" s="49" t="s">
        <v>38</v>
      </c>
      <c r="G36" s="42" t="s">
        <v>38</v>
      </c>
      <c r="H36" s="16"/>
      <c r="I36" s="24"/>
      <c r="J36" s="42" t="s">
        <v>38</v>
      </c>
      <c r="K36" s="16"/>
      <c r="L36" s="24"/>
    </row>
    <row r="37" ht="15" customHeight="1" spans="3:12">
      <c r="C37" s="16"/>
      <c r="D37" s="81" t="s">
        <v>201</v>
      </c>
      <c r="E37" s="50" t="s">
        <v>202</v>
      </c>
      <c r="F37" s="49" t="s">
        <v>203</v>
      </c>
      <c r="G37" s="42" t="s">
        <v>203</v>
      </c>
      <c r="H37" s="16"/>
      <c r="I37" s="24"/>
      <c r="J37" s="42" t="s">
        <v>203</v>
      </c>
      <c r="K37" s="16"/>
      <c r="L37" s="24"/>
    </row>
    <row r="38" spans="3:12">
      <c r="C38" s="16"/>
      <c r="D38" s="81" t="s">
        <v>204</v>
      </c>
      <c r="E38" s="50" t="s">
        <v>205</v>
      </c>
      <c r="F38" s="49" t="s">
        <v>38</v>
      </c>
      <c r="G38" s="42" t="s">
        <v>38</v>
      </c>
      <c r="H38" s="16"/>
      <c r="I38" s="24"/>
      <c r="J38" s="42" t="s">
        <v>38</v>
      </c>
      <c r="K38" s="16"/>
      <c r="L38" s="24"/>
    </row>
    <row r="39" ht="15" customHeight="1" spans="3:12">
      <c r="C39" s="16"/>
      <c r="D39" s="81" t="s">
        <v>206</v>
      </c>
      <c r="E39" s="50" t="s">
        <v>207</v>
      </c>
      <c r="F39" s="49" t="s">
        <v>38</v>
      </c>
      <c r="G39" s="42" t="s">
        <v>38</v>
      </c>
      <c r="H39" s="16"/>
      <c r="I39" s="24"/>
      <c r="J39" s="42" t="s">
        <v>38</v>
      </c>
      <c r="K39" s="16"/>
      <c r="L39" s="24"/>
    </row>
    <row r="40" spans="3:12">
      <c r="C40" s="16"/>
      <c r="D40" s="81" t="s">
        <v>208</v>
      </c>
      <c r="E40" s="50" t="s">
        <v>209</v>
      </c>
      <c r="F40" s="49" t="s">
        <v>35</v>
      </c>
      <c r="G40" s="42" t="s">
        <v>35</v>
      </c>
      <c r="H40" s="16"/>
      <c r="I40" s="24"/>
      <c r="J40" s="42" t="s">
        <v>35</v>
      </c>
      <c r="K40" s="16"/>
      <c r="L40" s="24"/>
    </row>
    <row r="41" ht="15" customHeight="1" spans="3:12">
      <c r="C41" s="16"/>
      <c r="D41" s="81" t="s">
        <v>210</v>
      </c>
      <c r="E41" s="50" t="s">
        <v>211</v>
      </c>
      <c r="F41" s="49" t="s">
        <v>38</v>
      </c>
      <c r="G41" s="42" t="s">
        <v>38</v>
      </c>
      <c r="H41" s="16"/>
      <c r="I41" s="24"/>
      <c r="J41" s="42" t="s">
        <v>38</v>
      </c>
      <c r="K41" s="16"/>
      <c r="L41" s="24"/>
    </row>
    <row r="42" spans="3:12">
      <c r="C42" s="16"/>
      <c r="D42" s="81" t="s">
        <v>212</v>
      </c>
      <c r="E42" s="50" t="s">
        <v>213</v>
      </c>
      <c r="F42" s="49" t="s">
        <v>35</v>
      </c>
      <c r="G42" s="42" t="s">
        <v>35</v>
      </c>
      <c r="H42" s="16"/>
      <c r="I42" s="24"/>
      <c r="J42" s="42" t="s">
        <v>35</v>
      </c>
      <c r="K42" s="16"/>
      <c r="L42" s="24"/>
    </row>
    <row r="43" ht="15" customHeight="1" spans="3:12">
      <c r="C43" s="16"/>
      <c r="D43" s="81" t="s">
        <v>214</v>
      </c>
      <c r="E43" s="50" t="s">
        <v>215</v>
      </c>
      <c r="F43" s="49" t="s">
        <v>216</v>
      </c>
      <c r="G43" s="42" t="s">
        <v>217</v>
      </c>
      <c r="H43" s="16"/>
      <c r="I43" s="24"/>
      <c r="J43" s="42" t="s">
        <v>217</v>
      </c>
      <c r="K43" s="16"/>
      <c r="L43" s="24"/>
    </row>
    <row r="44" ht="15" customHeight="1" spans="3:12">
      <c r="C44" s="16"/>
      <c r="D44" s="81" t="s">
        <v>218</v>
      </c>
      <c r="E44" s="50" t="s">
        <v>219</v>
      </c>
      <c r="F44" s="49" t="s">
        <v>90</v>
      </c>
      <c r="G44" s="42" t="s">
        <v>220</v>
      </c>
      <c r="H44" s="16"/>
      <c r="I44" s="24"/>
      <c r="J44" s="42" t="s">
        <v>220</v>
      </c>
      <c r="K44" s="16"/>
      <c r="L44" s="24"/>
    </row>
    <row r="45" ht="15" customHeight="1" spans="3:12">
      <c r="C45" s="16"/>
      <c r="D45" s="81" t="s">
        <v>221</v>
      </c>
      <c r="E45" s="50" t="s">
        <v>222</v>
      </c>
      <c r="F45" s="82" t="s">
        <v>38</v>
      </c>
      <c r="G45" s="42" t="s">
        <v>35</v>
      </c>
      <c r="H45" s="16"/>
      <c r="I45" s="24"/>
      <c r="J45" s="42" t="s">
        <v>35</v>
      </c>
      <c r="K45" s="16"/>
      <c r="L45" s="24"/>
    </row>
    <row r="46" ht="15" customHeight="1" spans="3:12">
      <c r="C46" s="16"/>
      <c r="D46" s="81" t="s">
        <v>223</v>
      </c>
      <c r="E46" s="50" t="s">
        <v>224</v>
      </c>
      <c r="F46" s="82" t="s">
        <v>38</v>
      </c>
      <c r="G46" s="42" t="s">
        <v>225</v>
      </c>
      <c r="H46" s="16"/>
      <c r="I46" s="24"/>
      <c r="J46" s="42" t="s">
        <v>225</v>
      </c>
      <c r="K46" s="16"/>
      <c r="L46" s="24"/>
    </row>
    <row r="47" spans="3:12">
      <c r="C47" s="16"/>
      <c r="D47" s="81" t="s">
        <v>226</v>
      </c>
      <c r="E47" s="50" t="s">
        <v>227</v>
      </c>
      <c r="F47" s="49" t="s">
        <v>220</v>
      </c>
      <c r="G47" s="42" t="s">
        <v>35</v>
      </c>
      <c r="H47" s="16"/>
      <c r="I47" s="24"/>
      <c r="J47" s="42" t="s">
        <v>35</v>
      </c>
      <c r="K47" s="16"/>
      <c r="L47" s="24"/>
    </row>
    <row r="48" ht="15" customHeight="1" spans="3:12">
      <c r="C48" s="16"/>
      <c r="D48" s="81" t="s">
        <v>228</v>
      </c>
      <c r="E48" s="50" t="s">
        <v>229</v>
      </c>
      <c r="F48" s="49" t="s">
        <v>38</v>
      </c>
      <c r="G48" s="42" t="s">
        <v>38</v>
      </c>
      <c r="H48" s="16"/>
      <c r="I48" s="24"/>
      <c r="J48" s="42" t="s">
        <v>38</v>
      </c>
      <c r="K48" s="16"/>
      <c r="L48" s="24"/>
    </row>
    <row r="49" ht="15" customHeight="1" spans="3:12">
      <c r="C49" s="16"/>
      <c r="D49" s="81" t="s">
        <v>230</v>
      </c>
      <c r="E49" s="50" t="s">
        <v>231</v>
      </c>
      <c r="F49" s="49" t="s">
        <v>148</v>
      </c>
      <c r="G49" s="42" t="s">
        <v>78</v>
      </c>
      <c r="H49" s="16"/>
      <c r="I49" s="24"/>
      <c r="J49" s="42" t="s">
        <v>78</v>
      </c>
      <c r="K49" s="16"/>
      <c r="L49" s="24"/>
    </row>
    <row r="50" spans="3:12">
      <c r="C50" s="16"/>
      <c r="D50" s="81" t="s">
        <v>232</v>
      </c>
      <c r="E50" s="50" t="s">
        <v>233</v>
      </c>
      <c r="F50" s="49" t="s">
        <v>234</v>
      </c>
      <c r="G50" s="42" t="s">
        <v>234</v>
      </c>
      <c r="H50" s="16"/>
      <c r="I50" s="24"/>
      <c r="J50" s="42" t="s">
        <v>234</v>
      </c>
      <c r="K50" s="16"/>
      <c r="L50" s="24"/>
    </row>
    <row r="51" ht="15" customHeight="1" spans="3:12">
      <c r="C51" s="16"/>
      <c r="D51" s="81" t="s">
        <v>235</v>
      </c>
      <c r="E51" s="50" t="s">
        <v>236</v>
      </c>
      <c r="F51" s="49" t="s">
        <v>17</v>
      </c>
      <c r="G51" s="42" t="s">
        <v>17</v>
      </c>
      <c r="H51" s="16"/>
      <c r="I51" s="24"/>
      <c r="J51" s="42" t="s">
        <v>17</v>
      </c>
      <c r="K51" s="16"/>
      <c r="L51" s="24"/>
    </row>
    <row r="52" ht="15" customHeight="1" spans="3:12">
      <c r="C52" s="16"/>
      <c r="D52" s="81" t="s">
        <v>237</v>
      </c>
      <c r="E52" s="50" t="s">
        <v>238</v>
      </c>
      <c r="F52" s="49" t="s">
        <v>30</v>
      </c>
      <c r="G52" s="42" t="s">
        <v>35</v>
      </c>
      <c r="H52" s="16"/>
      <c r="I52" s="24"/>
      <c r="J52" s="42" t="s">
        <v>35</v>
      </c>
      <c r="K52" s="16"/>
      <c r="L52" s="24"/>
    </row>
    <row r="53" spans="3:12">
      <c r="C53" s="16"/>
      <c r="D53" s="81" t="s">
        <v>239</v>
      </c>
      <c r="E53" s="50" t="s">
        <v>240</v>
      </c>
      <c r="F53" s="49" t="s">
        <v>17</v>
      </c>
      <c r="G53" s="42" t="s">
        <v>17</v>
      </c>
      <c r="H53" s="16"/>
      <c r="I53" s="24"/>
      <c r="J53" s="42" t="s">
        <v>17</v>
      </c>
      <c r="K53" s="16"/>
      <c r="L53" s="24"/>
    </row>
    <row r="54" spans="3:12">
      <c r="C54" s="16"/>
      <c r="D54" s="81" t="s">
        <v>241</v>
      </c>
      <c r="E54" s="50" t="s">
        <v>242</v>
      </c>
      <c r="F54" s="49" t="s">
        <v>35</v>
      </c>
      <c r="G54" s="42" t="s">
        <v>90</v>
      </c>
      <c r="H54" s="16"/>
      <c r="I54" s="24"/>
      <c r="J54" s="42" t="s">
        <v>90</v>
      </c>
      <c r="K54" s="16"/>
      <c r="L54" s="24"/>
    </row>
    <row r="55" spans="3:12">
      <c r="C55" s="16"/>
      <c r="D55" s="81" t="s">
        <v>243</v>
      </c>
      <c r="E55" s="50" t="s">
        <v>244</v>
      </c>
      <c r="F55" s="49" t="s">
        <v>161</v>
      </c>
      <c r="G55" s="42" t="s">
        <v>17</v>
      </c>
      <c r="H55" s="16"/>
      <c r="I55" s="24"/>
      <c r="J55" s="42" t="s">
        <v>17</v>
      </c>
      <c r="K55" s="16"/>
      <c r="L55" s="24"/>
    </row>
    <row r="56" ht="15" customHeight="1" spans="3:12">
      <c r="C56" s="16"/>
      <c r="D56" s="81" t="s">
        <v>245</v>
      </c>
      <c r="E56" s="50" t="s">
        <v>246</v>
      </c>
      <c r="F56" s="49" t="s">
        <v>35</v>
      </c>
      <c r="G56" s="42" t="s">
        <v>90</v>
      </c>
      <c r="H56" s="16"/>
      <c r="I56" s="24"/>
      <c r="J56" s="42" t="s">
        <v>90</v>
      </c>
      <c r="K56" s="16"/>
      <c r="L56" s="24"/>
    </row>
    <row r="57" ht="15" customHeight="1" spans="3:12">
      <c r="C57" s="16"/>
      <c r="D57" s="81" t="s">
        <v>247</v>
      </c>
      <c r="E57" s="50" t="s">
        <v>248</v>
      </c>
      <c r="F57" s="49" t="s">
        <v>161</v>
      </c>
      <c r="G57" s="42" t="s">
        <v>17</v>
      </c>
      <c r="H57" s="16"/>
      <c r="I57" s="24"/>
      <c r="J57" s="42" t="s">
        <v>17</v>
      </c>
      <c r="K57" s="16"/>
      <c r="L57" s="24"/>
    </row>
    <row r="58" ht="15" customHeight="1" spans="3:12">
      <c r="C58" s="16"/>
      <c r="D58" s="81" t="s">
        <v>249</v>
      </c>
      <c r="E58" s="50" t="s">
        <v>250</v>
      </c>
      <c r="F58" s="49" t="s">
        <v>38</v>
      </c>
      <c r="G58" s="42" t="s">
        <v>38</v>
      </c>
      <c r="H58" s="16"/>
      <c r="I58" s="24"/>
      <c r="J58" s="42" t="s">
        <v>38</v>
      </c>
      <c r="K58" s="16"/>
      <c r="L58" s="24"/>
    </row>
    <row r="59" ht="15" customHeight="1" spans="3:12">
      <c r="C59" s="16"/>
      <c r="D59" s="81" t="s">
        <v>251</v>
      </c>
      <c r="E59" s="50" t="s">
        <v>252</v>
      </c>
      <c r="F59" s="49" t="s">
        <v>196</v>
      </c>
      <c r="G59" s="42" t="s">
        <v>253</v>
      </c>
      <c r="H59" s="16"/>
      <c r="I59" s="24"/>
      <c r="J59" s="42" t="s">
        <v>253</v>
      </c>
      <c r="K59" s="16"/>
      <c r="L59" s="24"/>
    </row>
    <row r="60" ht="15" customHeight="1" spans="3:12">
      <c r="C60" s="16"/>
      <c r="D60" s="81" t="s">
        <v>254</v>
      </c>
      <c r="E60" s="50" t="s">
        <v>255</v>
      </c>
      <c r="F60" s="49" t="s">
        <v>35</v>
      </c>
      <c r="G60" s="42" t="s">
        <v>35</v>
      </c>
      <c r="H60" s="16"/>
      <c r="I60" s="24"/>
      <c r="J60" s="42" t="s">
        <v>35</v>
      </c>
      <c r="K60" s="16"/>
      <c r="L60" s="24"/>
    </row>
    <row r="61" ht="15" customHeight="1" spans="3:12">
      <c r="C61" s="16"/>
      <c r="D61" s="81" t="s">
        <v>256</v>
      </c>
      <c r="E61" s="50" t="s">
        <v>257</v>
      </c>
      <c r="F61" s="49" t="s">
        <v>258</v>
      </c>
      <c r="G61" s="42" t="s">
        <v>259</v>
      </c>
      <c r="H61" s="16"/>
      <c r="I61" s="24"/>
      <c r="J61" s="42" t="s">
        <v>259</v>
      </c>
      <c r="K61" s="16"/>
      <c r="L61" s="24"/>
    </row>
    <row r="62" spans="3:12">
      <c r="C62" s="16"/>
      <c r="D62" s="81" t="s">
        <v>260</v>
      </c>
      <c r="E62" s="50" t="s">
        <v>261</v>
      </c>
      <c r="F62" s="49" t="s">
        <v>35</v>
      </c>
      <c r="G62" s="42" t="s">
        <v>35</v>
      </c>
      <c r="H62" s="16"/>
      <c r="I62" s="24"/>
      <c r="J62" s="42" t="s">
        <v>35</v>
      </c>
      <c r="K62" s="16"/>
      <c r="L62" s="24"/>
    </row>
    <row r="63" spans="3:12">
      <c r="C63" s="16"/>
      <c r="D63" s="81" t="s">
        <v>262</v>
      </c>
      <c r="E63" s="50" t="s">
        <v>263</v>
      </c>
      <c r="F63" s="49" t="s">
        <v>264</v>
      </c>
      <c r="G63" s="42" t="s">
        <v>144</v>
      </c>
      <c r="H63" s="16"/>
      <c r="I63" s="24"/>
      <c r="J63" s="42" t="s">
        <v>144</v>
      </c>
      <c r="K63" s="16"/>
      <c r="L63" s="24"/>
    </row>
    <row r="64" ht="15" customHeight="1" spans="3:12">
      <c r="C64" s="16"/>
      <c r="D64" s="81" t="s">
        <v>265</v>
      </c>
      <c r="E64" s="50" t="s">
        <v>266</v>
      </c>
      <c r="F64" s="49" t="s">
        <v>38</v>
      </c>
      <c r="G64" s="42" t="s">
        <v>38</v>
      </c>
      <c r="H64" s="16"/>
      <c r="I64" s="24"/>
      <c r="J64" s="42" t="s">
        <v>38</v>
      </c>
      <c r="K64" s="16"/>
      <c r="L64" s="24"/>
    </row>
    <row r="65" ht="15" customHeight="1" spans="3:12">
      <c r="C65" s="16"/>
      <c r="D65" s="81" t="s">
        <v>267</v>
      </c>
      <c r="E65" s="50" t="s">
        <v>268</v>
      </c>
      <c r="F65" s="49" t="s">
        <v>145</v>
      </c>
      <c r="G65" s="42" t="s">
        <v>259</v>
      </c>
      <c r="H65" s="16"/>
      <c r="I65" s="24"/>
      <c r="J65" s="42" t="s">
        <v>259</v>
      </c>
      <c r="K65" s="16"/>
      <c r="L65" s="24"/>
    </row>
    <row r="66" ht="15" customHeight="1" spans="3:12">
      <c r="C66" s="16"/>
      <c r="D66" s="81" t="s">
        <v>269</v>
      </c>
      <c r="E66" s="50" t="s">
        <v>270</v>
      </c>
      <c r="F66" s="49" t="s">
        <v>38</v>
      </c>
      <c r="G66" s="42" t="s">
        <v>38</v>
      </c>
      <c r="H66" s="16"/>
      <c r="I66" s="24"/>
      <c r="J66" s="42" t="s">
        <v>38</v>
      </c>
      <c r="K66" s="16"/>
      <c r="L66" s="24"/>
    </row>
    <row r="67" ht="15" customHeight="1" spans="3:12">
      <c r="C67" s="16"/>
      <c r="D67" s="81" t="s">
        <v>271</v>
      </c>
      <c r="E67" s="50" t="s">
        <v>272</v>
      </c>
      <c r="F67" s="49" t="s">
        <v>38</v>
      </c>
      <c r="G67" s="42" t="s">
        <v>38</v>
      </c>
      <c r="H67" s="16"/>
      <c r="I67" s="24"/>
      <c r="J67" s="42" t="s">
        <v>38</v>
      </c>
      <c r="K67" s="16"/>
      <c r="L67" s="24"/>
    </row>
    <row r="68" ht="15" customHeight="1" spans="3:12">
      <c r="C68" s="16"/>
      <c r="D68" s="81" t="s">
        <v>273</v>
      </c>
      <c r="E68" s="50" t="s">
        <v>274</v>
      </c>
      <c r="F68" s="49" t="s">
        <v>264</v>
      </c>
      <c r="G68" s="42" t="s">
        <v>275</v>
      </c>
      <c r="H68" s="16"/>
      <c r="I68" s="24"/>
      <c r="J68" s="42" t="s">
        <v>275</v>
      </c>
      <c r="K68" s="16"/>
      <c r="L68" s="24"/>
    </row>
    <row r="69" spans="3:12">
      <c r="C69" s="16"/>
      <c r="D69" s="81" t="s">
        <v>276</v>
      </c>
      <c r="E69" s="50" t="s">
        <v>277</v>
      </c>
      <c r="F69" s="49" t="s">
        <v>38</v>
      </c>
      <c r="G69" s="42" t="s">
        <v>138</v>
      </c>
      <c r="H69" s="16"/>
      <c r="I69" s="24"/>
      <c r="J69" s="42" t="s">
        <v>138</v>
      </c>
      <c r="K69" s="16"/>
      <c r="L69" s="24"/>
    </row>
    <row r="70" spans="3:12">
      <c r="C70" s="16"/>
      <c r="D70" s="81" t="s">
        <v>278</v>
      </c>
      <c r="E70" s="50" t="s">
        <v>279</v>
      </c>
      <c r="F70" s="49" t="s">
        <v>145</v>
      </c>
      <c r="G70" s="42" t="s">
        <v>275</v>
      </c>
      <c r="H70" s="16"/>
      <c r="I70" s="24"/>
      <c r="J70" s="42" t="s">
        <v>275</v>
      </c>
      <c r="K70" s="16"/>
      <c r="L70" s="24"/>
    </row>
    <row r="71" spans="3:12">
      <c r="C71" s="16"/>
      <c r="D71" s="81" t="s">
        <v>280</v>
      </c>
      <c r="E71" s="50" t="s">
        <v>281</v>
      </c>
      <c r="F71" s="49" t="s">
        <v>38</v>
      </c>
      <c r="G71" s="42" t="s">
        <v>138</v>
      </c>
      <c r="H71" s="16"/>
      <c r="I71" s="24"/>
      <c r="J71" s="42" t="s">
        <v>138</v>
      </c>
      <c r="K71" s="16"/>
      <c r="L71" s="24"/>
    </row>
    <row r="72" ht="15" customHeight="1" spans="3:12">
      <c r="C72" s="16"/>
      <c r="D72" s="81" t="s">
        <v>282</v>
      </c>
      <c r="E72" s="50" t="s">
        <v>283</v>
      </c>
      <c r="F72" s="49" t="s">
        <v>38</v>
      </c>
      <c r="G72" s="42" t="s">
        <v>38</v>
      </c>
      <c r="H72" s="16"/>
      <c r="I72" s="24"/>
      <c r="J72" s="42" t="s">
        <v>38</v>
      </c>
      <c r="K72" s="16"/>
      <c r="L72" s="24"/>
    </row>
    <row r="73" ht="15" customHeight="1" spans="3:12">
      <c r="C73" s="16"/>
      <c r="D73" s="81" t="s">
        <v>284</v>
      </c>
      <c r="E73" s="50" t="s">
        <v>285</v>
      </c>
      <c r="F73" s="49" t="s">
        <v>286</v>
      </c>
      <c r="G73" s="42" t="s">
        <v>275</v>
      </c>
      <c r="H73" s="16"/>
      <c r="I73" s="24"/>
      <c r="J73" s="42" t="s">
        <v>275</v>
      </c>
      <c r="K73" s="16"/>
      <c r="L73" s="24"/>
    </row>
    <row r="74" spans="3:12">
      <c r="C74" s="16"/>
      <c r="D74" s="81" t="s">
        <v>287</v>
      </c>
      <c r="E74" s="50" t="s">
        <v>288</v>
      </c>
      <c r="F74" s="49" t="s">
        <v>35</v>
      </c>
      <c r="G74" s="42" t="s">
        <v>138</v>
      </c>
      <c r="H74" s="16"/>
      <c r="I74" s="24"/>
      <c r="J74" s="42" t="s">
        <v>138</v>
      </c>
      <c r="K74" s="16"/>
      <c r="L74" s="24"/>
    </row>
    <row r="75" ht="15" customHeight="1" spans="3:12">
      <c r="C75" s="16"/>
      <c r="D75" s="81" t="s">
        <v>289</v>
      </c>
      <c r="E75" s="50" t="s">
        <v>290</v>
      </c>
      <c r="F75" s="49" t="s">
        <v>291</v>
      </c>
      <c r="G75" s="42" t="s">
        <v>275</v>
      </c>
      <c r="H75" s="16"/>
      <c r="I75" s="24"/>
      <c r="J75" s="42" t="s">
        <v>275</v>
      </c>
      <c r="K75" s="16"/>
      <c r="L75" s="24"/>
    </row>
    <row r="76" spans="3:12">
      <c r="C76" s="16"/>
      <c r="D76" s="81" t="s">
        <v>292</v>
      </c>
      <c r="E76" s="50" t="s">
        <v>293</v>
      </c>
      <c r="F76" s="49" t="s">
        <v>35</v>
      </c>
      <c r="G76" s="42" t="s">
        <v>138</v>
      </c>
      <c r="H76" s="16"/>
      <c r="I76" s="24"/>
      <c r="J76" s="42" t="s">
        <v>138</v>
      </c>
      <c r="K76" s="16"/>
      <c r="L76" s="24"/>
    </row>
    <row r="77" ht="15" customHeight="1" spans="3:12">
      <c r="C77" s="16"/>
      <c r="D77" s="81" t="s">
        <v>294</v>
      </c>
      <c r="E77" s="50" t="s">
        <v>295</v>
      </c>
      <c r="F77" s="49" t="s">
        <v>38</v>
      </c>
      <c r="G77" s="42" t="s">
        <v>38</v>
      </c>
      <c r="H77" s="16"/>
      <c r="I77" s="24"/>
      <c r="J77" s="42" t="s">
        <v>38</v>
      </c>
      <c r="K77" s="16"/>
      <c r="L77" s="24"/>
    </row>
    <row r="78" spans="3:12">
      <c r="C78" s="16"/>
      <c r="D78" s="81" t="s">
        <v>296</v>
      </c>
      <c r="E78" s="50" t="s">
        <v>297</v>
      </c>
      <c r="F78" s="49" t="s">
        <v>286</v>
      </c>
      <c r="G78" s="42" t="s">
        <v>275</v>
      </c>
      <c r="H78" s="16"/>
      <c r="I78" s="24"/>
      <c r="J78" s="42" t="s">
        <v>275</v>
      </c>
      <c r="K78" s="16"/>
      <c r="L78" s="24"/>
    </row>
    <row r="79" ht="15" customHeight="1" spans="3:12">
      <c r="C79" s="16"/>
      <c r="D79" s="81" t="s">
        <v>298</v>
      </c>
      <c r="E79" s="50" t="s">
        <v>299</v>
      </c>
      <c r="F79" s="49" t="s">
        <v>35</v>
      </c>
      <c r="G79" s="42" t="s">
        <v>138</v>
      </c>
      <c r="H79" s="16"/>
      <c r="I79" s="24"/>
      <c r="J79" s="42" t="s">
        <v>138</v>
      </c>
      <c r="K79" s="16"/>
      <c r="L79" s="24"/>
    </row>
    <row r="80" ht="15" customHeight="1" spans="3:12">
      <c r="C80" s="16"/>
      <c r="D80" s="81" t="s">
        <v>300</v>
      </c>
      <c r="E80" s="50" t="s">
        <v>301</v>
      </c>
      <c r="F80" s="49" t="s">
        <v>302</v>
      </c>
      <c r="G80" s="42" t="s">
        <v>275</v>
      </c>
      <c r="H80" s="16"/>
      <c r="I80" s="24"/>
      <c r="J80" s="42" t="s">
        <v>275</v>
      </c>
      <c r="K80" s="16"/>
      <c r="L80" s="24"/>
    </row>
    <row r="81" spans="3:12">
      <c r="C81" s="16"/>
      <c r="D81" s="81" t="s">
        <v>303</v>
      </c>
      <c r="E81" s="50" t="s">
        <v>304</v>
      </c>
      <c r="F81" s="49" t="s">
        <v>90</v>
      </c>
      <c r="G81" s="42" t="s">
        <v>138</v>
      </c>
      <c r="H81" s="16"/>
      <c r="I81" s="24"/>
      <c r="J81" s="42" t="s">
        <v>138</v>
      </c>
      <c r="K81" s="16"/>
      <c r="L81" s="24"/>
    </row>
    <row r="82" ht="15" customHeight="1" spans="3:12">
      <c r="C82" s="16"/>
      <c r="D82" s="81" t="s">
        <v>305</v>
      </c>
      <c r="E82" s="50" t="s">
        <v>306</v>
      </c>
      <c r="F82" s="49" t="s">
        <v>38</v>
      </c>
      <c r="G82" s="42" t="s">
        <v>38</v>
      </c>
      <c r="H82" s="16"/>
      <c r="I82" s="24"/>
      <c r="J82" s="42" t="s">
        <v>38</v>
      </c>
      <c r="K82" s="16"/>
      <c r="L82" s="24"/>
    </row>
    <row r="83" ht="15" customHeight="1" spans="3:12">
      <c r="C83" s="16"/>
      <c r="D83" s="81" t="s">
        <v>307</v>
      </c>
      <c r="E83" s="50" t="s">
        <v>308</v>
      </c>
      <c r="F83" s="49" t="s">
        <v>286</v>
      </c>
      <c r="G83" s="42" t="s">
        <v>275</v>
      </c>
      <c r="H83" s="16"/>
      <c r="I83" s="24"/>
      <c r="J83" s="42" t="s">
        <v>275</v>
      </c>
      <c r="K83" s="16"/>
      <c r="L83" s="24"/>
    </row>
    <row r="84" spans="3:12">
      <c r="C84" s="16"/>
      <c r="D84" s="81" t="s">
        <v>309</v>
      </c>
      <c r="E84" s="50" t="s">
        <v>310</v>
      </c>
      <c r="F84" s="49" t="s">
        <v>35</v>
      </c>
      <c r="G84" s="42" t="s">
        <v>138</v>
      </c>
      <c r="H84" s="16"/>
      <c r="I84" s="24"/>
      <c r="J84" s="42" t="s">
        <v>138</v>
      </c>
      <c r="K84" s="16"/>
      <c r="L84" s="24"/>
    </row>
    <row r="85" spans="3:12">
      <c r="C85" s="16"/>
      <c r="D85" s="81" t="s">
        <v>311</v>
      </c>
      <c r="E85" s="50" t="s">
        <v>312</v>
      </c>
      <c r="F85" s="49" t="s">
        <v>302</v>
      </c>
      <c r="G85" s="42" t="s">
        <v>275</v>
      </c>
      <c r="H85" s="16"/>
      <c r="I85" s="24"/>
      <c r="J85" s="42" t="s">
        <v>275</v>
      </c>
      <c r="K85" s="16"/>
      <c r="L85" s="24"/>
    </row>
    <row r="86" spans="3:12">
      <c r="C86" s="16"/>
      <c r="D86" s="81" t="s">
        <v>313</v>
      </c>
      <c r="E86" s="50" t="s">
        <v>314</v>
      </c>
      <c r="F86" s="49" t="s">
        <v>90</v>
      </c>
      <c r="G86" s="42" t="s">
        <v>138</v>
      </c>
      <c r="H86" s="16"/>
      <c r="I86" s="24"/>
      <c r="J86" s="42" t="s">
        <v>138</v>
      </c>
      <c r="K86" s="16"/>
      <c r="L86" s="24"/>
    </row>
    <row r="87" spans="3:12">
      <c r="C87" s="16"/>
      <c r="D87" s="81" t="s">
        <v>315</v>
      </c>
      <c r="E87" s="50" t="s">
        <v>316</v>
      </c>
      <c r="F87" s="49" t="s">
        <v>35</v>
      </c>
      <c r="G87" s="42" t="s">
        <v>35</v>
      </c>
      <c r="H87" s="16"/>
      <c r="I87" s="24"/>
      <c r="J87" s="42" t="s">
        <v>35</v>
      </c>
      <c r="K87" s="16"/>
      <c r="L87" s="24"/>
    </row>
    <row r="88" ht="15" customHeight="1" spans="3:12">
      <c r="C88" s="16"/>
      <c r="D88" s="81" t="s">
        <v>317</v>
      </c>
      <c r="E88" s="50" t="s">
        <v>318</v>
      </c>
      <c r="F88" s="49" t="s">
        <v>319</v>
      </c>
      <c r="G88" s="42" t="s">
        <v>320</v>
      </c>
      <c r="H88" s="16"/>
      <c r="I88" s="24"/>
      <c r="J88" s="42" t="s">
        <v>320</v>
      </c>
      <c r="K88" s="16"/>
      <c r="L88" s="24"/>
    </row>
    <row r="89" ht="15" customHeight="1" spans="3:12">
      <c r="C89" s="16"/>
      <c r="D89" s="81" t="s">
        <v>321</v>
      </c>
      <c r="E89" s="50" t="s">
        <v>322</v>
      </c>
      <c r="F89" s="49" t="s">
        <v>38</v>
      </c>
      <c r="G89" s="42" t="s">
        <v>38</v>
      </c>
      <c r="H89" s="16"/>
      <c r="I89" s="24"/>
      <c r="J89" s="42" t="s">
        <v>38</v>
      </c>
      <c r="K89" s="16"/>
      <c r="L89" s="24"/>
    </row>
    <row r="90" ht="15" customHeight="1" spans="3:12">
      <c r="C90" s="16"/>
      <c r="D90" s="81" t="s">
        <v>323</v>
      </c>
      <c r="E90" s="50" t="s">
        <v>324</v>
      </c>
      <c r="F90" s="49" t="s">
        <v>302</v>
      </c>
      <c r="G90" s="42" t="s">
        <v>325</v>
      </c>
      <c r="H90" s="16"/>
      <c r="I90" s="24"/>
      <c r="J90" s="42" t="s">
        <v>325</v>
      </c>
      <c r="K90" s="16"/>
      <c r="L90" s="24"/>
    </row>
    <row r="91" spans="3:12">
      <c r="C91" s="16"/>
      <c r="D91" s="81" t="s">
        <v>326</v>
      </c>
      <c r="E91" s="50" t="s">
        <v>327</v>
      </c>
      <c r="F91" s="49" t="s">
        <v>90</v>
      </c>
      <c r="G91" s="42" t="s">
        <v>90</v>
      </c>
      <c r="H91" s="16"/>
      <c r="I91" s="24"/>
      <c r="J91" s="42" t="s">
        <v>90</v>
      </c>
      <c r="K91" s="16"/>
      <c r="L91" s="24"/>
    </row>
    <row r="92" ht="15" customHeight="1" spans="3:12">
      <c r="C92" s="16"/>
      <c r="D92" s="81" t="s">
        <v>328</v>
      </c>
      <c r="E92" s="50" t="s">
        <v>329</v>
      </c>
      <c r="F92" s="49" t="s">
        <v>38</v>
      </c>
      <c r="G92" s="42" t="s">
        <v>38</v>
      </c>
      <c r="H92" s="16"/>
      <c r="I92" s="24"/>
      <c r="J92" s="42" t="s">
        <v>38</v>
      </c>
      <c r="K92" s="16"/>
      <c r="L92" s="24"/>
    </row>
    <row r="93" ht="15" customHeight="1" spans="3:12">
      <c r="C93" s="16"/>
      <c r="D93" s="81" t="s">
        <v>330</v>
      </c>
      <c r="E93" s="50" t="s">
        <v>331</v>
      </c>
      <c r="F93" s="49" t="s">
        <v>332</v>
      </c>
      <c r="G93" s="42" t="s">
        <v>333</v>
      </c>
      <c r="H93" s="16"/>
      <c r="I93" s="24"/>
      <c r="J93" s="42" t="s">
        <v>333</v>
      </c>
      <c r="K93" s="16"/>
      <c r="L93" s="24"/>
    </row>
    <row r="94" ht="15" customHeight="1" spans="3:12">
      <c r="C94" s="16"/>
      <c r="D94" s="81" t="s">
        <v>334</v>
      </c>
      <c r="E94" s="50" t="s">
        <v>335</v>
      </c>
      <c r="F94" s="49" t="s">
        <v>38</v>
      </c>
      <c r="G94" s="42" t="s">
        <v>38</v>
      </c>
      <c r="H94" s="16"/>
      <c r="I94" s="24"/>
      <c r="J94" s="42" t="s">
        <v>38</v>
      </c>
      <c r="K94" s="16"/>
      <c r="L94" s="24"/>
    </row>
    <row r="95" ht="15" customHeight="1" spans="3:12">
      <c r="C95" s="16"/>
      <c r="D95" s="81" t="s">
        <v>336</v>
      </c>
      <c r="E95" s="50" t="s">
        <v>337</v>
      </c>
      <c r="F95" s="49" t="s">
        <v>286</v>
      </c>
      <c r="G95" s="42" t="s">
        <v>338</v>
      </c>
      <c r="H95" s="16"/>
      <c r="I95" s="24"/>
      <c r="J95" s="42" t="s">
        <v>338</v>
      </c>
      <c r="K95" s="16"/>
      <c r="L95" s="24"/>
    </row>
    <row r="96" ht="15" customHeight="1" spans="3:12">
      <c r="C96" s="16"/>
      <c r="D96" s="81" t="s">
        <v>339</v>
      </c>
      <c r="E96" s="50" t="s">
        <v>340</v>
      </c>
      <c r="F96" s="49" t="s">
        <v>35</v>
      </c>
      <c r="G96" s="42" t="s">
        <v>35</v>
      </c>
      <c r="H96" s="16"/>
      <c r="I96" s="24"/>
      <c r="J96" s="42" t="s">
        <v>35</v>
      </c>
      <c r="K96" s="16"/>
      <c r="L96" s="24"/>
    </row>
    <row r="97" ht="15" customHeight="1" spans="3:12">
      <c r="C97" s="16"/>
      <c r="D97" s="81" t="s">
        <v>341</v>
      </c>
      <c r="E97" s="50" t="s">
        <v>342</v>
      </c>
      <c r="F97" s="49" t="s">
        <v>343</v>
      </c>
      <c r="G97" s="42" t="s">
        <v>344</v>
      </c>
      <c r="H97" s="16"/>
      <c r="I97" s="24"/>
      <c r="J97" s="42" t="s">
        <v>344</v>
      </c>
      <c r="K97" s="16"/>
      <c r="L97" s="24"/>
    </row>
    <row r="98" ht="15" customHeight="1" spans="3:12">
      <c r="C98" s="16"/>
      <c r="D98" s="81" t="s">
        <v>345</v>
      </c>
      <c r="E98" s="50" t="s">
        <v>346</v>
      </c>
      <c r="F98" s="49" t="s">
        <v>35</v>
      </c>
      <c r="G98" s="42" t="s">
        <v>35</v>
      </c>
      <c r="H98" s="16"/>
      <c r="I98" s="24"/>
      <c r="J98" s="42" t="s">
        <v>35</v>
      </c>
      <c r="K98" s="16"/>
      <c r="L98" s="24"/>
    </row>
    <row r="99" spans="3:12">
      <c r="C99" s="16"/>
      <c r="D99" s="81" t="s">
        <v>347</v>
      </c>
      <c r="E99" s="50" t="s">
        <v>348</v>
      </c>
      <c r="F99" s="49" t="s">
        <v>302</v>
      </c>
      <c r="G99" s="42" t="s">
        <v>325</v>
      </c>
      <c r="H99" s="16"/>
      <c r="I99" s="24"/>
      <c r="J99" s="42" t="s">
        <v>325</v>
      </c>
      <c r="K99" s="16"/>
      <c r="L99" s="24"/>
    </row>
    <row r="100" ht="14.25" customHeight="1" spans="3:12">
      <c r="C100" s="52"/>
      <c r="D100" s="81" t="s">
        <v>349</v>
      </c>
      <c r="E100" s="50" t="s">
        <v>350</v>
      </c>
      <c r="F100" s="49" t="s">
        <v>90</v>
      </c>
      <c r="G100" s="42" t="s">
        <v>90</v>
      </c>
      <c r="H100" s="16"/>
      <c r="I100" s="24"/>
      <c r="J100" s="42" t="s">
        <v>90</v>
      </c>
      <c r="K100" s="16"/>
      <c r="L100" s="24"/>
    </row>
    <row r="101" ht="14.25" customHeight="1" spans="3:12">
      <c r="C101" s="52"/>
      <c r="D101" s="81" t="s">
        <v>351</v>
      </c>
      <c r="E101" s="50" t="s">
        <v>352</v>
      </c>
      <c r="F101" s="49" t="s">
        <v>35</v>
      </c>
      <c r="G101" s="42" t="s">
        <v>35</v>
      </c>
      <c r="H101" s="16"/>
      <c r="I101" s="24"/>
      <c r="J101" s="42" t="s">
        <v>35</v>
      </c>
      <c r="K101" s="16"/>
      <c r="L101" s="24"/>
    </row>
    <row r="102" ht="14.25" customHeight="1" spans="3:12">
      <c r="C102" s="52"/>
      <c r="D102" s="81" t="s">
        <v>353</v>
      </c>
      <c r="E102" s="50" t="s">
        <v>354</v>
      </c>
      <c r="F102" s="49" t="s">
        <v>203</v>
      </c>
      <c r="G102" s="42" t="s">
        <v>355</v>
      </c>
      <c r="H102" s="16"/>
      <c r="I102" s="24"/>
      <c r="J102" s="42" t="s">
        <v>355</v>
      </c>
      <c r="K102" s="16"/>
      <c r="L102" s="24"/>
    </row>
    <row r="103" spans="3:12">
      <c r="C103" s="52"/>
      <c r="D103" s="81" t="s">
        <v>356</v>
      </c>
      <c r="E103" s="50" t="s">
        <v>357</v>
      </c>
      <c r="F103" s="49" t="s">
        <v>38</v>
      </c>
      <c r="G103" s="42" t="s">
        <v>38</v>
      </c>
      <c r="H103" s="16"/>
      <c r="I103" s="24"/>
      <c r="J103" s="42" t="s">
        <v>38</v>
      </c>
      <c r="K103" s="16"/>
      <c r="L103" s="24"/>
    </row>
    <row r="104" ht="15" customHeight="1" spans="3:12">
      <c r="C104" s="83"/>
      <c r="D104" s="81" t="s">
        <v>358</v>
      </c>
      <c r="E104" s="50" t="s">
        <v>359</v>
      </c>
      <c r="F104" s="49" t="s">
        <v>286</v>
      </c>
      <c r="G104" s="42" t="s">
        <v>338</v>
      </c>
      <c r="H104" s="16"/>
      <c r="I104" s="24"/>
      <c r="J104" s="42" t="s">
        <v>338</v>
      </c>
      <c r="K104" s="16"/>
      <c r="L104" s="24"/>
    </row>
    <row r="105" ht="15" customHeight="1" spans="3:12">
      <c r="C105" s="83"/>
      <c r="D105" s="81" t="s">
        <v>360</v>
      </c>
      <c r="E105" s="50" t="s">
        <v>361</v>
      </c>
      <c r="F105" s="49" t="s">
        <v>35</v>
      </c>
      <c r="G105" s="42" t="s">
        <v>35</v>
      </c>
      <c r="H105" s="16"/>
      <c r="I105" s="24"/>
      <c r="J105" s="42" t="s">
        <v>35</v>
      </c>
      <c r="K105" s="16"/>
      <c r="L105" s="24"/>
    </row>
    <row r="106" ht="16.5" customHeight="1" spans="3:12">
      <c r="C106" s="83"/>
      <c r="D106" s="81" t="s">
        <v>362</v>
      </c>
      <c r="E106" s="50" t="s">
        <v>363</v>
      </c>
      <c r="F106" s="49" t="s">
        <v>364</v>
      </c>
      <c r="G106" s="42" t="s">
        <v>365</v>
      </c>
      <c r="H106" s="16"/>
      <c r="I106" s="24"/>
      <c r="J106" s="42" t="s">
        <v>365</v>
      </c>
      <c r="K106" s="16"/>
      <c r="L106" s="24"/>
    </row>
    <row r="107" spans="3:12">
      <c r="C107" s="83"/>
      <c r="D107" s="81" t="s">
        <v>366</v>
      </c>
      <c r="E107" s="50" t="s">
        <v>367</v>
      </c>
      <c r="F107" s="49" t="s">
        <v>35</v>
      </c>
      <c r="G107" s="42" t="s">
        <v>35</v>
      </c>
      <c r="H107" s="16"/>
      <c r="I107" s="24"/>
      <c r="J107" s="42" t="s">
        <v>35</v>
      </c>
      <c r="K107" s="16"/>
      <c r="L107" s="24"/>
    </row>
    <row r="108" ht="15" customHeight="1" spans="3:12">
      <c r="C108" s="83"/>
      <c r="D108" s="81" t="s">
        <v>368</v>
      </c>
      <c r="E108" s="50" t="s">
        <v>369</v>
      </c>
      <c r="F108" s="49" t="s">
        <v>302</v>
      </c>
      <c r="G108" s="42" t="s">
        <v>325</v>
      </c>
      <c r="H108" s="16"/>
      <c r="I108" s="24"/>
      <c r="J108" s="42" t="s">
        <v>325</v>
      </c>
      <c r="K108" s="16"/>
      <c r="L108" s="24"/>
    </row>
    <row r="109" ht="15" customHeight="1" spans="3:12">
      <c r="C109" s="83"/>
      <c r="D109" s="81" t="s">
        <v>370</v>
      </c>
      <c r="E109" s="50" t="s">
        <v>371</v>
      </c>
      <c r="F109" s="49" t="s">
        <v>90</v>
      </c>
      <c r="G109" s="42" t="s">
        <v>90</v>
      </c>
      <c r="H109" s="16"/>
      <c r="I109" s="24"/>
      <c r="J109" s="42" t="s">
        <v>90</v>
      </c>
      <c r="K109" s="16"/>
      <c r="L109" s="24"/>
    </row>
    <row r="110" ht="15" customHeight="1" spans="3:12">
      <c r="C110" s="83"/>
      <c r="D110" s="81" t="s">
        <v>372</v>
      </c>
      <c r="E110" s="50" t="s">
        <v>373</v>
      </c>
      <c r="F110" s="49" t="s">
        <v>35</v>
      </c>
      <c r="G110" s="42" t="s">
        <v>35</v>
      </c>
      <c r="H110" s="16"/>
      <c r="I110" s="24"/>
      <c r="J110" s="42" t="s">
        <v>35</v>
      </c>
      <c r="K110" s="16"/>
      <c r="L110" s="24"/>
    </row>
    <row r="111" ht="15" customHeight="1" spans="3:12">
      <c r="C111" s="83"/>
      <c r="D111" s="81" t="s">
        <v>374</v>
      </c>
      <c r="E111" s="50" t="s">
        <v>375</v>
      </c>
      <c r="F111" s="49" t="s">
        <v>203</v>
      </c>
      <c r="G111" s="42" t="s">
        <v>355</v>
      </c>
      <c r="H111" s="16"/>
      <c r="I111" s="24"/>
      <c r="J111" s="42" t="s">
        <v>355</v>
      </c>
      <c r="K111" s="16"/>
      <c r="L111" s="24"/>
    </row>
    <row r="112" ht="15" customHeight="1" spans="3:12">
      <c r="C112" s="83"/>
      <c r="D112" s="81" t="s">
        <v>376</v>
      </c>
      <c r="E112" s="50" t="s">
        <v>377</v>
      </c>
      <c r="F112" s="49" t="s">
        <v>38</v>
      </c>
      <c r="G112" s="42" t="s">
        <v>38</v>
      </c>
      <c r="H112" s="16"/>
      <c r="I112" s="24"/>
      <c r="J112" s="42" t="s">
        <v>38</v>
      </c>
      <c r="K112" s="16"/>
      <c r="L112" s="24"/>
    </row>
    <row r="113" ht="15" customHeight="1" spans="3:12">
      <c r="C113" s="83"/>
      <c r="D113" s="81" t="s">
        <v>378</v>
      </c>
      <c r="E113" s="50" t="s">
        <v>379</v>
      </c>
      <c r="F113" s="49" t="s">
        <v>286</v>
      </c>
      <c r="G113" s="42" t="s">
        <v>338</v>
      </c>
      <c r="H113" s="16"/>
      <c r="I113" s="24"/>
      <c r="J113" s="42" t="s">
        <v>338</v>
      </c>
      <c r="K113" s="16"/>
      <c r="L113" s="24"/>
    </row>
    <row r="114" ht="15" customHeight="1" spans="3:12">
      <c r="C114" s="83"/>
      <c r="D114" s="81" t="s">
        <v>380</v>
      </c>
      <c r="E114" s="50" t="s">
        <v>381</v>
      </c>
      <c r="F114" s="49" t="s">
        <v>35</v>
      </c>
      <c r="G114" s="42" t="s">
        <v>35</v>
      </c>
      <c r="H114" s="16"/>
      <c r="I114" s="24"/>
      <c r="J114" s="42" t="s">
        <v>35</v>
      </c>
      <c r="K114" s="16"/>
      <c r="L114" s="24"/>
    </row>
    <row r="115" ht="15" customHeight="1" spans="3:12">
      <c r="C115" s="83"/>
      <c r="D115" s="81" t="s">
        <v>382</v>
      </c>
      <c r="E115" s="50" t="s">
        <v>383</v>
      </c>
      <c r="F115" s="49" t="s">
        <v>364</v>
      </c>
      <c r="G115" s="42" t="s">
        <v>365</v>
      </c>
      <c r="H115" s="16"/>
      <c r="I115" s="24"/>
      <c r="J115" s="42" t="s">
        <v>365</v>
      </c>
      <c r="K115" s="16"/>
      <c r="L115" s="24"/>
    </row>
    <row r="116" ht="14.25" customHeight="1" spans="3:12">
      <c r="C116" s="83"/>
      <c r="D116" s="81" t="s">
        <v>384</v>
      </c>
      <c r="E116" s="50" t="s">
        <v>385</v>
      </c>
      <c r="F116" s="49" t="s">
        <v>35</v>
      </c>
      <c r="G116" s="42" t="s">
        <v>35</v>
      </c>
      <c r="H116" s="16"/>
      <c r="I116" s="24"/>
      <c r="J116" s="42" t="s">
        <v>35</v>
      </c>
      <c r="K116" s="16"/>
      <c r="L116" s="24"/>
    </row>
    <row r="117" ht="14.25" customHeight="1" spans="3:12">
      <c r="C117" s="47"/>
      <c r="D117" s="81" t="s">
        <v>386</v>
      </c>
      <c r="E117" s="50" t="s">
        <v>387</v>
      </c>
      <c r="F117" s="49" t="s">
        <v>302</v>
      </c>
      <c r="G117" s="42" t="s">
        <v>325</v>
      </c>
      <c r="H117" s="16"/>
      <c r="I117" s="24"/>
      <c r="J117" s="42" t="s">
        <v>325</v>
      </c>
      <c r="K117" s="16"/>
      <c r="L117" s="24"/>
    </row>
    <row r="118" ht="14.25" customHeight="1" spans="3:12">
      <c r="C118" s="47"/>
      <c r="D118" s="81" t="s">
        <v>388</v>
      </c>
      <c r="E118" s="50" t="s">
        <v>389</v>
      </c>
      <c r="F118" s="49" t="s">
        <v>90</v>
      </c>
      <c r="G118" s="42" t="s">
        <v>90</v>
      </c>
      <c r="H118" s="16"/>
      <c r="I118" s="24"/>
      <c r="J118" s="42" t="s">
        <v>90</v>
      </c>
      <c r="K118" s="16"/>
      <c r="L118" s="24"/>
    </row>
    <row r="119" ht="14.25" customHeight="1" spans="3:12">
      <c r="C119" s="47"/>
      <c r="D119" s="81" t="s">
        <v>390</v>
      </c>
      <c r="E119" s="50" t="s">
        <v>391</v>
      </c>
      <c r="F119" s="49" t="s">
        <v>35</v>
      </c>
      <c r="G119" s="42" t="s">
        <v>35</v>
      </c>
      <c r="H119" s="16"/>
      <c r="I119" s="24"/>
      <c r="J119" s="42" t="s">
        <v>35</v>
      </c>
      <c r="K119" s="16"/>
      <c r="L119" s="24"/>
    </row>
    <row r="120" ht="14.25" customHeight="1" spans="3:12">
      <c r="C120" s="47"/>
      <c r="D120" s="81" t="s">
        <v>392</v>
      </c>
      <c r="E120" s="50" t="s">
        <v>393</v>
      </c>
      <c r="F120" s="49" t="s">
        <v>319</v>
      </c>
      <c r="G120" s="42" t="s">
        <v>320</v>
      </c>
      <c r="H120" s="16"/>
      <c r="I120" s="24"/>
      <c r="J120" s="42" t="s">
        <v>320</v>
      </c>
      <c r="K120" s="16"/>
      <c r="L120" s="24"/>
    </row>
    <row r="121" ht="14.25" customHeight="1" spans="3:12">
      <c r="C121" s="47"/>
      <c r="D121" s="81" t="s">
        <v>394</v>
      </c>
      <c r="E121" s="50" t="s">
        <v>395</v>
      </c>
      <c r="F121" s="49" t="s">
        <v>38</v>
      </c>
      <c r="G121" s="42" t="s">
        <v>38</v>
      </c>
      <c r="H121" s="16"/>
      <c r="I121" s="24"/>
      <c r="J121" s="42" t="s">
        <v>38</v>
      </c>
      <c r="K121" s="16"/>
      <c r="L121" s="24"/>
    </row>
    <row r="122" ht="14.25" customHeight="1" spans="3:12">
      <c r="C122" s="47"/>
      <c r="D122" s="81" t="s">
        <v>396</v>
      </c>
      <c r="E122" s="50" t="s">
        <v>397</v>
      </c>
      <c r="F122" s="49" t="s">
        <v>302</v>
      </c>
      <c r="G122" s="42" t="s">
        <v>325</v>
      </c>
      <c r="H122" s="16"/>
      <c r="I122" s="24"/>
      <c r="J122" s="42" t="s">
        <v>325</v>
      </c>
      <c r="K122" s="16"/>
      <c r="L122" s="24"/>
    </row>
    <row r="123" ht="14.25" customHeight="1" spans="3:12">
      <c r="C123" s="47"/>
      <c r="D123" s="81" t="s">
        <v>398</v>
      </c>
      <c r="E123" s="50" t="s">
        <v>399</v>
      </c>
      <c r="F123" s="49" t="s">
        <v>90</v>
      </c>
      <c r="G123" s="42" t="s">
        <v>90</v>
      </c>
      <c r="H123" s="16"/>
      <c r="I123" s="24"/>
      <c r="J123" s="42" t="s">
        <v>90</v>
      </c>
      <c r="K123" s="16"/>
      <c r="L123" s="24"/>
    </row>
    <row r="124" s="62" customFormat="1" spans="3:12">
      <c r="C124" s="47"/>
      <c r="D124" s="81" t="s">
        <v>400</v>
      </c>
      <c r="E124" s="50" t="s">
        <v>401</v>
      </c>
      <c r="F124" s="49" t="s">
        <v>38</v>
      </c>
      <c r="G124" s="42" t="s">
        <v>38</v>
      </c>
      <c r="H124" s="16"/>
      <c r="I124" s="24"/>
      <c r="J124" s="42" t="s">
        <v>38</v>
      </c>
      <c r="K124" s="16"/>
      <c r="L124" s="24"/>
    </row>
    <row r="125" s="62" customFormat="1" spans="3:12">
      <c r="C125" s="47"/>
      <c r="D125" s="81" t="s">
        <v>402</v>
      </c>
      <c r="E125" s="50" t="s">
        <v>403</v>
      </c>
      <c r="F125" s="49" t="s">
        <v>332</v>
      </c>
      <c r="G125" s="42" t="s">
        <v>333</v>
      </c>
      <c r="H125" s="16"/>
      <c r="I125" s="24"/>
      <c r="J125" s="42" t="s">
        <v>333</v>
      </c>
      <c r="K125" s="16"/>
      <c r="L125" s="24"/>
    </row>
    <row r="126" s="62" customFormat="1" spans="3:12">
      <c r="C126" s="47"/>
      <c r="D126" s="81" t="s">
        <v>404</v>
      </c>
      <c r="E126" s="50" t="s">
        <v>405</v>
      </c>
      <c r="F126" s="49" t="s">
        <v>38</v>
      </c>
      <c r="G126" s="42" t="s">
        <v>38</v>
      </c>
      <c r="H126" s="16"/>
      <c r="I126" s="24"/>
      <c r="J126" s="42" t="s">
        <v>38</v>
      </c>
      <c r="K126" s="16"/>
      <c r="L126" s="24"/>
    </row>
    <row r="127" s="62" customFormat="1" spans="3:12">
      <c r="C127" s="47"/>
      <c r="D127" s="81" t="s">
        <v>406</v>
      </c>
      <c r="E127" s="50" t="s">
        <v>407</v>
      </c>
      <c r="F127" s="49" t="s">
        <v>408</v>
      </c>
      <c r="G127" s="42" t="s">
        <v>409</v>
      </c>
      <c r="H127" s="16"/>
      <c r="I127" s="24"/>
      <c r="J127" s="42" t="s">
        <v>409</v>
      </c>
      <c r="K127" s="16"/>
      <c r="L127" s="24"/>
    </row>
    <row r="128" s="62" customFormat="1" spans="3:12">
      <c r="C128" s="47"/>
      <c r="D128" s="81" t="s">
        <v>410</v>
      </c>
      <c r="E128" s="50" t="s">
        <v>411</v>
      </c>
      <c r="F128" s="49" t="s">
        <v>38</v>
      </c>
      <c r="G128" s="42" t="s">
        <v>38</v>
      </c>
      <c r="H128" s="16"/>
      <c r="I128" s="24"/>
      <c r="J128" s="42" t="s">
        <v>38</v>
      </c>
      <c r="K128" s="16"/>
      <c r="L128" s="24"/>
    </row>
    <row r="129" s="62" customFormat="1" spans="3:12">
      <c r="C129" s="47"/>
      <c r="D129" s="81" t="s">
        <v>412</v>
      </c>
      <c r="E129" s="50" t="s">
        <v>413</v>
      </c>
      <c r="F129" s="49" t="s">
        <v>286</v>
      </c>
      <c r="G129" s="42" t="s">
        <v>338</v>
      </c>
      <c r="H129" s="16"/>
      <c r="I129" s="24"/>
      <c r="J129" s="42" t="s">
        <v>338</v>
      </c>
      <c r="K129" s="16"/>
      <c r="L129" s="24"/>
    </row>
    <row r="130" s="62" customFormat="1" spans="3:12">
      <c r="C130" s="84"/>
      <c r="D130" s="81" t="s">
        <v>414</v>
      </c>
      <c r="E130" s="50" t="s">
        <v>415</v>
      </c>
      <c r="F130" s="49" t="s">
        <v>35</v>
      </c>
      <c r="G130" s="42" t="s">
        <v>35</v>
      </c>
      <c r="H130" s="16"/>
      <c r="I130" s="24"/>
      <c r="J130" s="42" t="s">
        <v>35</v>
      </c>
      <c r="K130" s="16"/>
      <c r="L130" s="24"/>
    </row>
    <row r="131" s="62" customFormat="1" spans="3:12">
      <c r="C131" s="84"/>
      <c r="D131" s="81" t="s">
        <v>416</v>
      </c>
      <c r="E131" s="50" t="s">
        <v>417</v>
      </c>
      <c r="F131" s="49" t="s">
        <v>418</v>
      </c>
      <c r="G131" s="42" t="s">
        <v>419</v>
      </c>
      <c r="H131" s="16"/>
      <c r="I131" s="24"/>
      <c r="J131" s="42" t="s">
        <v>419</v>
      </c>
      <c r="K131" s="16"/>
      <c r="L131" s="24"/>
    </row>
    <row r="132" s="62" customFormat="1" spans="3:12">
      <c r="C132" s="84"/>
      <c r="D132" s="81" t="s">
        <v>420</v>
      </c>
      <c r="E132" s="50" t="s">
        <v>421</v>
      </c>
      <c r="F132" s="49" t="s">
        <v>35</v>
      </c>
      <c r="G132" s="42" t="s">
        <v>35</v>
      </c>
      <c r="H132" s="16"/>
      <c r="I132" s="24"/>
      <c r="J132" s="42" t="s">
        <v>35</v>
      </c>
      <c r="K132" s="16"/>
      <c r="L132" s="24"/>
    </row>
    <row r="133" s="62" customFormat="1" spans="3:12">
      <c r="C133" s="84"/>
      <c r="D133" s="81" t="s">
        <v>422</v>
      </c>
      <c r="E133" s="50" t="s">
        <v>423</v>
      </c>
      <c r="F133" s="49" t="s">
        <v>343</v>
      </c>
      <c r="G133" s="42" t="s">
        <v>344</v>
      </c>
      <c r="H133" s="16"/>
      <c r="I133" s="24"/>
      <c r="J133" s="42" t="s">
        <v>344</v>
      </c>
      <c r="K133" s="16"/>
      <c r="L133" s="24"/>
    </row>
    <row r="134" s="62" customFormat="1" spans="3:12">
      <c r="C134" s="84"/>
      <c r="D134" s="81" t="s">
        <v>424</v>
      </c>
      <c r="E134" s="50" t="s">
        <v>425</v>
      </c>
      <c r="F134" s="49" t="s">
        <v>35</v>
      </c>
      <c r="G134" s="42" t="s">
        <v>35</v>
      </c>
      <c r="H134" s="16"/>
      <c r="I134" s="24"/>
      <c r="J134" s="42" t="s">
        <v>35</v>
      </c>
      <c r="K134" s="16"/>
      <c r="L134" s="24"/>
    </row>
    <row r="135" s="62" customFormat="1" spans="3:12">
      <c r="C135" s="84"/>
      <c r="D135" s="81" t="s">
        <v>426</v>
      </c>
      <c r="E135" s="50" t="s">
        <v>427</v>
      </c>
      <c r="F135" s="49" t="s">
        <v>428</v>
      </c>
      <c r="G135" s="42" t="s">
        <v>429</v>
      </c>
      <c r="H135" s="16"/>
      <c r="I135" s="24"/>
      <c r="J135" s="42" t="s">
        <v>429</v>
      </c>
      <c r="K135" s="16"/>
      <c r="L135" s="24"/>
    </row>
    <row r="136" s="62" customFormat="1" spans="3:12">
      <c r="C136" s="84"/>
      <c r="D136" s="81" t="s">
        <v>430</v>
      </c>
      <c r="E136" s="50" t="s">
        <v>431</v>
      </c>
      <c r="F136" s="49" t="s">
        <v>35</v>
      </c>
      <c r="G136" s="42" t="s">
        <v>35</v>
      </c>
      <c r="H136" s="16"/>
      <c r="I136" s="24"/>
      <c r="J136" s="42" t="s">
        <v>35</v>
      </c>
      <c r="K136" s="16"/>
      <c r="L136" s="24"/>
    </row>
    <row r="137" s="62" customFormat="1" spans="3:12">
      <c r="C137" s="84"/>
      <c r="D137" s="81" t="s">
        <v>432</v>
      </c>
      <c r="E137" s="50" t="s">
        <v>433</v>
      </c>
      <c r="F137" s="49" t="s">
        <v>302</v>
      </c>
      <c r="G137" s="42" t="s">
        <v>325</v>
      </c>
      <c r="H137" s="16"/>
      <c r="I137" s="24"/>
      <c r="J137" s="42" t="s">
        <v>325</v>
      </c>
      <c r="K137" s="16"/>
      <c r="L137" s="24"/>
    </row>
    <row r="138" s="62" customFormat="1" spans="3:12">
      <c r="C138" s="84"/>
      <c r="D138" s="81" t="s">
        <v>434</v>
      </c>
      <c r="E138" s="50" t="s">
        <v>435</v>
      </c>
      <c r="F138" s="49" t="s">
        <v>90</v>
      </c>
      <c r="G138" s="42" t="s">
        <v>90</v>
      </c>
      <c r="H138" s="16"/>
      <c r="I138" s="24"/>
      <c r="J138" s="42" t="s">
        <v>90</v>
      </c>
      <c r="K138" s="16"/>
      <c r="L138" s="24"/>
    </row>
    <row r="139" s="62" customFormat="1" spans="3:12">
      <c r="C139" s="84"/>
      <c r="D139" s="81" t="s">
        <v>436</v>
      </c>
      <c r="E139" s="50" t="s">
        <v>437</v>
      </c>
      <c r="F139" s="49" t="s">
        <v>438</v>
      </c>
      <c r="G139" s="42" t="s">
        <v>439</v>
      </c>
      <c r="H139" s="16"/>
      <c r="I139" s="24"/>
      <c r="J139" s="42" t="s">
        <v>439</v>
      </c>
      <c r="K139" s="16"/>
      <c r="L139" s="24"/>
    </row>
    <row r="140" s="62" customFormat="1" spans="3:12">
      <c r="C140" s="84"/>
      <c r="D140" s="81" t="s">
        <v>440</v>
      </c>
      <c r="E140" s="50" t="s">
        <v>441</v>
      </c>
      <c r="F140" s="49" t="s">
        <v>90</v>
      </c>
      <c r="G140" s="42" t="s">
        <v>90</v>
      </c>
      <c r="H140" s="16"/>
      <c r="I140" s="24"/>
      <c r="J140" s="42" t="s">
        <v>90</v>
      </c>
      <c r="K140" s="16"/>
      <c r="L140" s="24"/>
    </row>
    <row r="141" s="62" customFormat="1" spans="3:12">
      <c r="C141" s="84"/>
      <c r="D141" s="81" t="s">
        <v>442</v>
      </c>
      <c r="E141" s="50" t="s">
        <v>443</v>
      </c>
      <c r="F141" s="49" t="s">
        <v>35</v>
      </c>
      <c r="G141" s="42" t="s">
        <v>35</v>
      </c>
      <c r="H141" s="16"/>
      <c r="I141" s="24"/>
      <c r="J141" s="42" t="s">
        <v>35</v>
      </c>
      <c r="K141" s="16"/>
      <c r="L141" s="24"/>
    </row>
    <row r="142" s="62" customFormat="1" spans="3:12">
      <c r="C142" s="84"/>
      <c r="D142" s="81" t="s">
        <v>444</v>
      </c>
      <c r="E142" s="50" t="s">
        <v>445</v>
      </c>
      <c r="F142" s="49" t="s">
        <v>319</v>
      </c>
      <c r="G142" s="42" t="s">
        <v>320</v>
      </c>
      <c r="H142" s="16"/>
      <c r="I142" s="24"/>
      <c r="J142" s="42" t="s">
        <v>320</v>
      </c>
      <c r="K142" s="16"/>
      <c r="L142" s="24"/>
    </row>
    <row r="143" s="62" customFormat="1" spans="3:12">
      <c r="C143" s="84"/>
      <c r="D143" s="81" t="s">
        <v>446</v>
      </c>
      <c r="E143" s="50" t="s">
        <v>447</v>
      </c>
      <c r="F143" s="49" t="s">
        <v>38</v>
      </c>
      <c r="G143" s="42" t="s">
        <v>38</v>
      </c>
      <c r="H143" s="16"/>
      <c r="I143" s="24"/>
      <c r="J143" s="42" t="s">
        <v>38</v>
      </c>
      <c r="K143" s="16"/>
      <c r="L143" s="24"/>
    </row>
    <row r="144" s="62" customFormat="1" spans="3:12">
      <c r="C144" s="84"/>
      <c r="D144" s="81" t="s">
        <v>448</v>
      </c>
      <c r="E144" s="50" t="s">
        <v>449</v>
      </c>
      <c r="F144" s="49" t="s">
        <v>302</v>
      </c>
      <c r="G144" s="42" t="s">
        <v>325</v>
      </c>
      <c r="H144" s="16"/>
      <c r="I144" s="24"/>
      <c r="J144" s="42" t="s">
        <v>325</v>
      </c>
      <c r="K144" s="16"/>
      <c r="L144" s="24"/>
    </row>
    <row r="145" s="62" customFormat="1" spans="3:12">
      <c r="C145" s="84"/>
      <c r="D145" s="81" t="s">
        <v>450</v>
      </c>
      <c r="E145" s="50" t="s">
        <v>451</v>
      </c>
      <c r="F145" s="49" t="s">
        <v>90</v>
      </c>
      <c r="G145" s="42" t="s">
        <v>90</v>
      </c>
      <c r="H145" s="16"/>
      <c r="I145" s="24"/>
      <c r="J145" s="42" t="s">
        <v>90</v>
      </c>
      <c r="K145" s="16"/>
      <c r="L145" s="24"/>
    </row>
    <row r="146" s="62" customFormat="1" spans="3:12">
      <c r="C146" s="84"/>
      <c r="D146" s="81" t="s">
        <v>452</v>
      </c>
      <c r="E146" s="50" t="s">
        <v>453</v>
      </c>
      <c r="F146" s="49" t="s">
        <v>35</v>
      </c>
      <c r="G146" s="42" t="s">
        <v>35</v>
      </c>
      <c r="H146" s="16"/>
      <c r="I146" s="24"/>
      <c r="J146" s="42" t="s">
        <v>35</v>
      </c>
      <c r="K146" s="16"/>
      <c r="L146" s="24"/>
    </row>
    <row r="147" s="62" customFormat="1" spans="3:12">
      <c r="C147" s="84"/>
      <c r="D147" s="81" t="s">
        <v>454</v>
      </c>
      <c r="E147" s="50" t="s">
        <v>455</v>
      </c>
      <c r="F147" s="49" t="s">
        <v>332</v>
      </c>
      <c r="G147" s="42" t="s">
        <v>333</v>
      </c>
      <c r="H147" s="16"/>
      <c r="I147" s="24"/>
      <c r="J147" s="42" t="s">
        <v>333</v>
      </c>
      <c r="K147" s="16"/>
      <c r="L147" s="24"/>
    </row>
    <row r="148" s="62" customFormat="1" spans="3:12">
      <c r="C148" s="84"/>
      <c r="D148" s="81" t="s">
        <v>456</v>
      </c>
      <c r="E148" s="50" t="s">
        <v>457</v>
      </c>
      <c r="F148" s="49" t="s">
        <v>38</v>
      </c>
      <c r="G148" s="42" t="s">
        <v>38</v>
      </c>
      <c r="H148" s="16"/>
      <c r="I148" s="24"/>
      <c r="J148" s="42" t="s">
        <v>38</v>
      </c>
      <c r="K148" s="16"/>
      <c r="L148" s="24"/>
    </row>
    <row r="149" s="62" customFormat="1" spans="3:12">
      <c r="C149" s="84"/>
      <c r="D149" s="81" t="s">
        <v>458</v>
      </c>
      <c r="E149" s="50" t="s">
        <v>459</v>
      </c>
      <c r="F149" s="49" t="s">
        <v>302</v>
      </c>
      <c r="G149" s="42" t="s">
        <v>325</v>
      </c>
      <c r="H149" s="16"/>
      <c r="I149" s="24"/>
      <c r="J149" s="42" t="s">
        <v>325</v>
      </c>
      <c r="K149" s="16"/>
      <c r="L149" s="24"/>
    </row>
    <row r="150" s="62" customFormat="1" spans="3:12">
      <c r="C150" s="84"/>
      <c r="D150" s="81" t="s">
        <v>460</v>
      </c>
      <c r="E150" s="50" t="s">
        <v>461</v>
      </c>
      <c r="F150" s="49" t="s">
        <v>90</v>
      </c>
      <c r="G150" s="42" t="s">
        <v>90</v>
      </c>
      <c r="H150" s="16"/>
      <c r="I150" s="24"/>
      <c r="J150" s="42" t="s">
        <v>90</v>
      </c>
      <c r="K150" s="16"/>
      <c r="L150" s="24"/>
    </row>
    <row r="151" s="62" customFormat="1" spans="3:12">
      <c r="C151" s="84"/>
      <c r="D151" s="81" t="s">
        <v>462</v>
      </c>
      <c r="E151" s="50" t="s">
        <v>463</v>
      </c>
      <c r="F151" s="49" t="s">
        <v>35</v>
      </c>
      <c r="G151" s="42" t="s">
        <v>35</v>
      </c>
      <c r="H151" s="16"/>
      <c r="I151" s="24"/>
      <c r="J151" s="42" t="s">
        <v>35</v>
      </c>
      <c r="K151" s="16"/>
      <c r="L151" s="24"/>
    </row>
    <row r="152" s="62" customFormat="1" spans="3:12">
      <c r="C152" s="84"/>
      <c r="D152" s="81" t="s">
        <v>464</v>
      </c>
      <c r="E152" s="50" t="s">
        <v>465</v>
      </c>
      <c r="F152" s="49" t="s">
        <v>466</v>
      </c>
      <c r="G152" s="42" t="s">
        <v>467</v>
      </c>
      <c r="H152" s="16"/>
      <c r="I152" s="24"/>
      <c r="J152" s="42" t="s">
        <v>467</v>
      </c>
      <c r="K152" s="16"/>
      <c r="L152" s="24"/>
    </row>
    <row r="153" s="62" customFormat="1" spans="3:12">
      <c r="C153" s="84"/>
      <c r="D153" s="81" t="s">
        <v>468</v>
      </c>
      <c r="E153" s="50" t="s">
        <v>469</v>
      </c>
      <c r="F153" s="49" t="s">
        <v>38</v>
      </c>
      <c r="G153" s="42" t="s">
        <v>38</v>
      </c>
      <c r="H153" s="16"/>
      <c r="I153" s="24"/>
      <c r="J153" s="42" t="s">
        <v>38</v>
      </c>
      <c r="K153" s="16"/>
      <c r="L153" s="24"/>
    </row>
    <row r="154" s="62" customFormat="1" spans="3:12">
      <c r="C154" s="84"/>
      <c r="D154" s="81" t="s">
        <v>470</v>
      </c>
      <c r="E154" s="50" t="s">
        <v>471</v>
      </c>
      <c r="F154" s="49" t="s">
        <v>302</v>
      </c>
      <c r="G154" s="42" t="s">
        <v>325</v>
      </c>
      <c r="H154" s="16"/>
      <c r="I154" s="24"/>
      <c r="J154" s="42" t="s">
        <v>325</v>
      </c>
      <c r="K154" s="16"/>
      <c r="L154" s="24"/>
    </row>
    <row r="155" s="62" customFormat="1" spans="3:12">
      <c r="C155" s="84"/>
      <c r="D155" s="81" t="s">
        <v>472</v>
      </c>
      <c r="E155" s="50" t="s">
        <v>473</v>
      </c>
      <c r="F155" s="49" t="s">
        <v>90</v>
      </c>
      <c r="G155" s="42" t="s">
        <v>90</v>
      </c>
      <c r="H155" s="16"/>
      <c r="I155" s="24"/>
      <c r="J155" s="42" t="s">
        <v>90</v>
      </c>
      <c r="K155" s="16"/>
      <c r="L155" s="24"/>
    </row>
    <row r="156" s="62" customFormat="1" spans="3:12">
      <c r="C156" s="84"/>
      <c r="D156" s="81" t="s">
        <v>474</v>
      </c>
      <c r="E156" s="50" t="s">
        <v>475</v>
      </c>
      <c r="F156" s="49" t="s">
        <v>38</v>
      </c>
      <c r="G156" s="42" t="s">
        <v>38</v>
      </c>
      <c r="H156" s="16"/>
      <c r="I156" s="24"/>
      <c r="J156" s="42" t="s">
        <v>38</v>
      </c>
      <c r="K156" s="16"/>
      <c r="L156" s="24"/>
    </row>
    <row r="157" s="62" customFormat="1" spans="3:12">
      <c r="C157" s="84"/>
      <c r="D157" s="81" t="s">
        <v>476</v>
      </c>
      <c r="E157" s="50" t="s">
        <v>477</v>
      </c>
      <c r="F157" s="49" t="s">
        <v>332</v>
      </c>
      <c r="G157" s="42" t="s">
        <v>333</v>
      </c>
      <c r="H157" s="16"/>
      <c r="I157" s="24"/>
      <c r="J157" s="42" t="s">
        <v>333</v>
      </c>
      <c r="K157" s="16"/>
      <c r="L157" s="24"/>
    </row>
    <row r="158" s="62" customFormat="1" spans="3:12">
      <c r="C158" s="84"/>
      <c r="D158" s="81" t="s">
        <v>478</v>
      </c>
      <c r="E158" s="50" t="s">
        <v>479</v>
      </c>
      <c r="F158" s="49" t="s">
        <v>38</v>
      </c>
      <c r="G158" s="42" t="s">
        <v>38</v>
      </c>
      <c r="H158" s="16"/>
      <c r="I158" s="24"/>
      <c r="J158" s="42" t="s">
        <v>38</v>
      </c>
      <c r="K158" s="16"/>
      <c r="L158" s="24"/>
    </row>
    <row r="159" s="62" customFormat="1" spans="3:12">
      <c r="C159" s="84"/>
      <c r="D159" s="81" t="s">
        <v>480</v>
      </c>
      <c r="E159" s="50" t="s">
        <v>481</v>
      </c>
      <c r="F159" s="49" t="s">
        <v>482</v>
      </c>
      <c r="G159" s="42" t="s">
        <v>483</v>
      </c>
      <c r="H159" s="16"/>
      <c r="I159" s="24"/>
      <c r="J159" s="42" t="s">
        <v>483</v>
      </c>
      <c r="K159" s="16"/>
      <c r="L159" s="24"/>
    </row>
    <row r="160" s="62" customFormat="1" spans="3:12">
      <c r="C160" s="84"/>
      <c r="D160" s="81" t="s">
        <v>484</v>
      </c>
      <c r="E160" s="50" t="s">
        <v>485</v>
      </c>
      <c r="F160" s="49" t="s">
        <v>38</v>
      </c>
      <c r="G160" s="42" t="s">
        <v>38</v>
      </c>
      <c r="H160" s="16"/>
      <c r="I160" s="24"/>
      <c r="J160" s="42" t="s">
        <v>38</v>
      </c>
      <c r="K160" s="16"/>
      <c r="L160" s="24"/>
    </row>
    <row r="161" s="62" customFormat="1" spans="3:12">
      <c r="C161" s="84"/>
      <c r="D161" s="81" t="s">
        <v>486</v>
      </c>
      <c r="E161" s="50" t="s">
        <v>487</v>
      </c>
      <c r="F161" s="49" t="s">
        <v>343</v>
      </c>
      <c r="G161" s="42" t="s">
        <v>344</v>
      </c>
      <c r="H161" s="16"/>
      <c r="I161" s="24"/>
      <c r="J161" s="42" t="s">
        <v>344</v>
      </c>
      <c r="K161" s="16"/>
      <c r="L161" s="24"/>
    </row>
    <row r="162" s="62" customFormat="1" spans="3:12">
      <c r="C162" s="84"/>
      <c r="D162" s="81" t="s">
        <v>488</v>
      </c>
      <c r="E162" s="50" t="s">
        <v>489</v>
      </c>
      <c r="F162" s="49" t="s">
        <v>35</v>
      </c>
      <c r="G162" s="42" t="s">
        <v>35</v>
      </c>
      <c r="H162" s="16"/>
      <c r="I162" s="24"/>
      <c r="J162" s="42" t="s">
        <v>35</v>
      </c>
      <c r="K162" s="16"/>
      <c r="L162" s="24"/>
    </row>
    <row r="163" s="62" customFormat="1" spans="3:12">
      <c r="C163" s="84"/>
      <c r="D163" s="81" t="s">
        <v>490</v>
      </c>
      <c r="E163" s="50" t="s">
        <v>491</v>
      </c>
      <c r="F163" s="49" t="s">
        <v>492</v>
      </c>
      <c r="G163" s="42" t="s">
        <v>493</v>
      </c>
      <c r="H163" s="16"/>
      <c r="I163" s="24"/>
      <c r="J163" s="42" t="s">
        <v>493</v>
      </c>
      <c r="K163" s="16"/>
      <c r="L163" s="24"/>
    </row>
    <row r="164" s="62" customFormat="1" spans="3:12">
      <c r="C164" s="84"/>
      <c r="D164" s="81" t="s">
        <v>494</v>
      </c>
      <c r="E164" s="50" t="s">
        <v>495</v>
      </c>
      <c r="F164" s="49" t="s">
        <v>35</v>
      </c>
      <c r="G164" s="42" t="s">
        <v>35</v>
      </c>
      <c r="H164" s="16"/>
      <c r="I164" s="24"/>
      <c r="J164" s="42" t="s">
        <v>35</v>
      </c>
      <c r="K164" s="16"/>
      <c r="L164" s="24"/>
    </row>
    <row r="165" s="62" customFormat="1" spans="3:12">
      <c r="C165" s="84"/>
      <c r="D165" s="81" t="s">
        <v>496</v>
      </c>
      <c r="E165" s="50" t="s">
        <v>497</v>
      </c>
      <c r="F165" s="49" t="s">
        <v>35</v>
      </c>
      <c r="G165" s="42" t="s">
        <v>35</v>
      </c>
      <c r="H165" s="16"/>
      <c r="I165" s="24"/>
      <c r="J165" s="42" t="s">
        <v>35</v>
      </c>
      <c r="K165" s="16"/>
      <c r="L165" s="24"/>
    </row>
    <row r="166" s="62" customFormat="1" spans="3:12">
      <c r="C166" s="84"/>
      <c r="D166" s="54" t="s">
        <v>498</v>
      </c>
      <c r="E166" s="50" t="s">
        <v>499</v>
      </c>
      <c r="F166" s="49" t="s">
        <v>319</v>
      </c>
      <c r="G166" s="42" t="s">
        <v>320</v>
      </c>
      <c r="H166" s="16"/>
      <c r="I166" s="24"/>
      <c r="J166" s="42" t="s">
        <v>320</v>
      </c>
      <c r="K166" s="16"/>
      <c r="L166" s="24"/>
    </row>
    <row r="167" s="62" customFormat="1" spans="3:12">
      <c r="C167" s="84"/>
      <c r="D167" s="54" t="s">
        <v>500</v>
      </c>
      <c r="E167" s="50" t="s">
        <v>501</v>
      </c>
      <c r="F167" s="49" t="s">
        <v>38</v>
      </c>
      <c r="G167" s="42" t="s">
        <v>38</v>
      </c>
      <c r="H167" s="16"/>
      <c r="I167" s="24"/>
      <c r="J167" s="42" t="s">
        <v>38</v>
      </c>
      <c r="K167" s="16"/>
      <c r="L167" s="24"/>
    </row>
    <row r="168" spans="3:12">
      <c r="C168" s="84"/>
      <c r="D168" s="16" t="s">
        <v>502</v>
      </c>
      <c r="E168" s="50" t="s">
        <v>503</v>
      </c>
      <c r="F168" s="49" t="s">
        <v>302</v>
      </c>
      <c r="G168" s="42" t="s">
        <v>325</v>
      </c>
      <c r="H168" s="16"/>
      <c r="I168" s="24"/>
      <c r="J168" s="42" t="s">
        <v>325</v>
      </c>
      <c r="K168" s="16"/>
      <c r="L168" s="24"/>
    </row>
    <row r="169" spans="3:12">
      <c r="C169" s="84"/>
      <c r="D169" s="16" t="s">
        <v>504</v>
      </c>
      <c r="E169" s="50" t="s">
        <v>505</v>
      </c>
      <c r="F169" s="49" t="s">
        <v>90</v>
      </c>
      <c r="G169" s="42" t="s">
        <v>90</v>
      </c>
      <c r="H169" s="16"/>
      <c r="I169" s="24"/>
      <c r="J169" s="42" t="s">
        <v>90</v>
      </c>
      <c r="K169" s="16"/>
      <c r="L169" s="24"/>
    </row>
    <row r="170" spans="3:12">
      <c r="C170" s="84"/>
      <c r="D170" s="16" t="s">
        <v>506</v>
      </c>
      <c r="E170" s="50" t="s">
        <v>507</v>
      </c>
      <c r="F170" s="49" t="s">
        <v>35</v>
      </c>
      <c r="G170" s="42" t="s">
        <v>35</v>
      </c>
      <c r="H170" s="16"/>
      <c r="I170" s="24"/>
      <c r="J170" s="42" t="s">
        <v>35</v>
      </c>
      <c r="K170" s="16"/>
      <c r="L170" s="24"/>
    </row>
    <row r="171" spans="3:12">
      <c r="C171" s="84"/>
      <c r="D171" s="16" t="s">
        <v>508</v>
      </c>
      <c r="E171" s="50" t="s">
        <v>509</v>
      </c>
      <c r="F171" s="49" t="s">
        <v>510</v>
      </c>
      <c r="G171" s="42" t="s">
        <v>511</v>
      </c>
      <c r="H171" s="16"/>
      <c r="I171" s="24"/>
      <c r="J171" s="42" t="s">
        <v>511</v>
      </c>
      <c r="K171" s="16"/>
      <c r="L171" s="24"/>
    </row>
    <row r="172" spans="3:12">
      <c r="C172" s="84"/>
      <c r="D172" s="16" t="s">
        <v>512</v>
      </c>
      <c r="E172" s="50" t="s">
        <v>513</v>
      </c>
      <c r="F172" s="49" t="s">
        <v>38</v>
      </c>
      <c r="G172" s="42" t="s">
        <v>38</v>
      </c>
      <c r="H172" s="16"/>
      <c r="I172" s="24"/>
      <c r="J172" s="42" t="s">
        <v>38</v>
      </c>
      <c r="K172" s="16"/>
      <c r="L172" s="24"/>
    </row>
    <row r="173" spans="3:12">
      <c r="C173" s="84"/>
      <c r="D173" s="16" t="s">
        <v>514</v>
      </c>
      <c r="E173" s="50" t="s">
        <v>515</v>
      </c>
      <c r="F173" s="49" t="s">
        <v>516</v>
      </c>
      <c r="G173" s="42" t="s">
        <v>517</v>
      </c>
      <c r="H173" s="16"/>
      <c r="I173" s="24"/>
      <c r="J173" s="42" t="s">
        <v>517</v>
      </c>
      <c r="K173" s="16"/>
      <c r="L173" s="24"/>
    </row>
    <row r="174" spans="3:12">
      <c r="C174" s="84"/>
      <c r="D174" s="16" t="s">
        <v>518</v>
      </c>
      <c r="E174" s="50" t="s">
        <v>519</v>
      </c>
      <c r="F174" s="49" t="s">
        <v>35</v>
      </c>
      <c r="G174" s="42" t="s">
        <v>35</v>
      </c>
      <c r="H174" s="16"/>
      <c r="I174" s="24"/>
      <c r="J174" s="42" t="s">
        <v>35</v>
      </c>
      <c r="K174" s="16"/>
      <c r="L174" s="24"/>
    </row>
    <row r="175" spans="3:12">
      <c r="C175" s="84"/>
      <c r="D175" s="16" t="s">
        <v>520</v>
      </c>
      <c r="E175" s="50" t="s">
        <v>521</v>
      </c>
      <c r="F175" s="49" t="s">
        <v>522</v>
      </c>
      <c r="G175" s="42" t="s">
        <v>466</v>
      </c>
      <c r="H175" s="16"/>
      <c r="I175" s="24"/>
      <c r="J175" s="42" t="s">
        <v>466</v>
      </c>
      <c r="K175" s="16"/>
      <c r="L175" s="24"/>
    </row>
    <row r="176" spans="3:12">
      <c r="C176" s="84"/>
      <c r="D176" s="16" t="s">
        <v>523</v>
      </c>
      <c r="E176" s="50" t="s">
        <v>524</v>
      </c>
      <c r="F176" s="49" t="s">
        <v>35</v>
      </c>
      <c r="G176" s="42" t="s">
        <v>35</v>
      </c>
      <c r="H176" s="16"/>
      <c r="I176" s="24"/>
      <c r="J176" s="42" t="s">
        <v>35</v>
      </c>
      <c r="K176" s="16"/>
      <c r="L176" s="24"/>
    </row>
    <row r="177" spans="3:12">
      <c r="C177" s="84"/>
      <c r="D177" s="16" t="s">
        <v>525</v>
      </c>
      <c r="E177" s="50" t="s">
        <v>526</v>
      </c>
      <c r="F177" s="49" t="s">
        <v>492</v>
      </c>
      <c r="G177" s="42" t="s">
        <v>429</v>
      </c>
      <c r="H177" s="16"/>
      <c r="I177" s="24"/>
      <c r="J177" s="42" t="s">
        <v>429</v>
      </c>
      <c r="K177" s="16"/>
      <c r="L177" s="24"/>
    </row>
    <row r="178" spans="3:12">
      <c r="C178" s="84"/>
      <c r="D178" s="16" t="s">
        <v>527</v>
      </c>
      <c r="E178" s="50" t="s">
        <v>528</v>
      </c>
      <c r="F178" s="49" t="s">
        <v>90</v>
      </c>
      <c r="G178" s="42" t="s">
        <v>90</v>
      </c>
      <c r="H178" s="16"/>
      <c r="I178" s="24"/>
      <c r="J178" s="42" t="s">
        <v>90</v>
      </c>
      <c r="K178" s="16"/>
      <c r="L178" s="24"/>
    </row>
    <row r="179" spans="3:12">
      <c r="C179" s="84"/>
      <c r="D179" s="16" t="s">
        <v>529</v>
      </c>
      <c r="E179" s="50" t="s">
        <v>530</v>
      </c>
      <c r="F179" s="49" t="s">
        <v>38</v>
      </c>
      <c r="G179" s="42" t="s">
        <v>38</v>
      </c>
      <c r="H179" s="16"/>
      <c r="I179" s="24"/>
      <c r="J179" s="42" t="s">
        <v>38</v>
      </c>
      <c r="K179" s="16"/>
      <c r="L179" s="24"/>
    </row>
    <row r="180" spans="3:12">
      <c r="C180" s="84"/>
      <c r="D180" s="16" t="s">
        <v>531</v>
      </c>
      <c r="E180" s="50" t="s">
        <v>532</v>
      </c>
      <c r="F180" s="49" t="s">
        <v>533</v>
      </c>
      <c r="G180" s="42" t="s">
        <v>534</v>
      </c>
      <c r="H180" s="16"/>
      <c r="I180" s="24"/>
      <c r="J180" s="42" t="s">
        <v>534</v>
      </c>
      <c r="K180" s="16"/>
      <c r="L180" s="24"/>
    </row>
    <row r="181" spans="3:12">
      <c r="C181" s="84"/>
      <c r="D181" s="16" t="s">
        <v>535</v>
      </c>
      <c r="E181" s="50" t="s">
        <v>536</v>
      </c>
      <c r="F181" s="49" t="s">
        <v>38</v>
      </c>
      <c r="G181" s="42" t="s">
        <v>38</v>
      </c>
      <c r="H181" s="16"/>
      <c r="I181" s="24"/>
      <c r="J181" s="42" t="s">
        <v>38</v>
      </c>
      <c r="K181" s="16"/>
      <c r="L181" s="24"/>
    </row>
    <row r="182" spans="3:12">
      <c r="C182" s="84"/>
      <c r="D182" s="16" t="s">
        <v>537</v>
      </c>
      <c r="E182" s="50" t="s">
        <v>538</v>
      </c>
      <c r="F182" s="49" t="s">
        <v>539</v>
      </c>
      <c r="G182" s="42" t="s">
        <v>188</v>
      </c>
      <c r="H182" s="16"/>
      <c r="I182" s="24"/>
      <c r="J182" s="42" t="s">
        <v>188</v>
      </c>
      <c r="K182" s="16"/>
      <c r="L182" s="24"/>
    </row>
    <row r="183" spans="3:12">
      <c r="C183" s="84"/>
      <c r="D183" s="54" t="s">
        <v>540</v>
      </c>
      <c r="E183" s="50" t="s">
        <v>541</v>
      </c>
      <c r="F183" s="49" t="s">
        <v>38</v>
      </c>
      <c r="G183" s="42" t="s">
        <v>38</v>
      </c>
      <c r="H183" s="16"/>
      <c r="I183" s="24"/>
      <c r="J183" s="42" t="s">
        <v>38</v>
      </c>
      <c r="K183" s="16"/>
      <c r="L183" s="24"/>
    </row>
    <row r="184" spans="3:12">
      <c r="C184" s="84"/>
      <c r="D184" s="54" t="s">
        <v>542</v>
      </c>
      <c r="E184" s="50" t="s">
        <v>543</v>
      </c>
      <c r="F184" s="49" t="s">
        <v>544</v>
      </c>
      <c r="G184" s="42" t="s">
        <v>545</v>
      </c>
      <c r="H184" s="16"/>
      <c r="I184" s="24"/>
      <c r="J184" s="42" t="s">
        <v>545</v>
      </c>
      <c r="K184" s="16"/>
      <c r="L184" s="24"/>
    </row>
    <row r="185" spans="3:12">
      <c r="C185" s="84"/>
      <c r="D185" s="54" t="s">
        <v>546</v>
      </c>
      <c r="E185" s="50" t="s">
        <v>547</v>
      </c>
      <c r="F185" s="49" t="s">
        <v>35</v>
      </c>
      <c r="G185" s="42" t="s">
        <v>35</v>
      </c>
      <c r="H185" s="16"/>
      <c r="I185" s="24"/>
      <c r="J185" s="42" t="s">
        <v>35</v>
      </c>
      <c r="K185" s="16"/>
      <c r="L185" s="24"/>
    </row>
    <row r="186" spans="3:12">
      <c r="C186" s="84"/>
      <c r="D186" s="54" t="s">
        <v>548</v>
      </c>
      <c r="E186" s="50" t="s">
        <v>549</v>
      </c>
      <c r="F186" s="49" t="s">
        <v>550</v>
      </c>
      <c r="G186" s="42" t="s">
        <v>551</v>
      </c>
      <c r="H186" s="16"/>
      <c r="I186" s="24"/>
      <c r="J186" s="42" t="s">
        <v>551</v>
      </c>
      <c r="K186" s="16"/>
      <c r="L186" s="24"/>
    </row>
    <row r="187" spans="3:12">
      <c r="C187" s="16"/>
      <c r="D187" s="54" t="s">
        <v>552</v>
      </c>
      <c r="E187" s="50" t="s">
        <v>553</v>
      </c>
      <c r="F187" s="49" t="s">
        <v>35</v>
      </c>
      <c r="G187" s="42" t="s">
        <v>35</v>
      </c>
      <c r="H187" s="16"/>
      <c r="I187" s="24"/>
      <c r="J187" s="42" t="s">
        <v>35</v>
      </c>
      <c r="K187" s="16"/>
      <c r="L187" s="24"/>
    </row>
    <row r="188" spans="3:12">
      <c r="C188" s="16"/>
      <c r="D188" s="54" t="s">
        <v>554</v>
      </c>
      <c r="E188" s="50" t="s">
        <v>555</v>
      </c>
      <c r="F188" s="49" t="s">
        <v>38</v>
      </c>
      <c r="G188" s="42" t="s">
        <v>38</v>
      </c>
      <c r="H188" s="16"/>
      <c r="I188" s="24"/>
      <c r="J188" s="42" t="s">
        <v>38</v>
      </c>
      <c r="K188" s="16"/>
      <c r="L188" s="24"/>
    </row>
    <row r="189" s="62" customFormat="1" ht="15" customHeight="1" spans="3:12">
      <c r="C189" s="16"/>
      <c r="D189" s="54" t="s">
        <v>556</v>
      </c>
      <c r="E189" s="50" t="s">
        <v>557</v>
      </c>
      <c r="F189" s="49" t="s">
        <v>558</v>
      </c>
      <c r="G189" s="42" t="s">
        <v>558</v>
      </c>
      <c r="H189" s="16"/>
      <c r="I189" s="24"/>
      <c r="J189" s="42" t="s">
        <v>558</v>
      </c>
      <c r="K189" s="16"/>
      <c r="L189" s="24"/>
    </row>
    <row r="190" spans="3:12">
      <c r="C190" s="84"/>
      <c r="D190" s="54" t="s">
        <v>559</v>
      </c>
      <c r="E190" s="50" t="s">
        <v>560</v>
      </c>
      <c r="F190" s="49" t="s">
        <v>35</v>
      </c>
      <c r="G190" s="42" t="s">
        <v>35</v>
      </c>
      <c r="H190" s="16"/>
      <c r="I190" s="24"/>
      <c r="J190" s="42" t="s">
        <v>35</v>
      </c>
      <c r="K190" s="16"/>
      <c r="L190" s="24"/>
    </row>
    <row r="191" spans="3:12">
      <c r="C191" s="84"/>
      <c r="D191" s="54" t="s">
        <v>561</v>
      </c>
      <c r="E191" s="50" t="s">
        <v>562</v>
      </c>
      <c r="F191" s="49" t="s">
        <v>153</v>
      </c>
      <c r="G191" s="42" t="s">
        <v>153</v>
      </c>
      <c r="H191" s="16"/>
      <c r="I191" s="24"/>
      <c r="J191" s="42" t="s">
        <v>153</v>
      </c>
      <c r="K191" s="16"/>
      <c r="L191" s="24"/>
    </row>
    <row r="192" spans="3:12">
      <c r="C192" s="16"/>
      <c r="D192" s="54" t="s">
        <v>563</v>
      </c>
      <c r="E192" s="50" t="s">
        <v>564</v>
      </c>
      <c r="F192" s="49" t="s">
        <v>35</v>
      </c>
      <c r="G192" s="42" t="s">
        <v>35</v>
      </c>
      <c r="H192" s="16"/>
      <c r="I192" s="24"/>
      <c r="J192" s="42" t="s">
        <v>35</v>
      </c>
      <c r="K192" s="16"/>
      <c r="L192" s="24"/>
    </row>
    <row r="193" spans="3:12">
      <c r="C193" s="16"/>
      <c r="D193" s="54" t="s">
        <v>565</v>
      </c>
      <c r="E193" s="50" t="s">
        <v>566</v>
      </c>
      <c r="F193" s="49" t="s">
        <v>258</v>
      </c>
      <c r="G193" s="42" t="s">
        <v>258</v>
      </c>
      <c r="H193" s="16"/>
      <c r="I193" s="24"/>
      <c r="J193" s="42" t="s">
        <v>258</v>
      </c>
      <c r="K193" s="16"/>
      <c r="L193" s="24"/>
    </row>
    <row r="194" spans="3:12">
      <c r="C194" s="16"/>
      <c r="D194" s="54" t="s">
        <v>567</v>
      </c>
      <c r="E194" s="50" t="s">
        <v>568</v>
      </c>
      <c r="F194" s="49" t="s">
        <v>90</v>
      </c>
      <c r="G194" s="42" t="s">
        <v>90</v>
      </c>
      <c r="H194" s="16"/>
      <c r="I194" s="24"/>
      <c r="J194" s="42" t="s">
        <v>90</v>
      </c>
      <c r="K194" s="16"/>
      <c r="L194" s="24"/>
    </row>
    <row r="195" spans="3:12">
      <c r="C195" s="84"/>
      <c r="D195" s="54" t="s">
        <v>569</v>
      </c>
      <c r="E195" s="50" t="s">
        <v>570</v>
      </c>
      <c r="F195" s="49" t="s">
        <v>571</v>
      </c>
      <c r="G195" s="42" t="s">
        <v>571</v>
      </c>
      <c r="H195" s="16"/>
      <c r="I195" s="24"/>
      <c r="J195" s="42" t="s">
        <v>571</v>
      </c>
      <c r="K195" s="16"/>
      <c r="L195" s="24"/>
    </row>
    <row r="196" spans="3:12">
      <c r="C196" s="84"/>
      <c r="D196" s="54" t="s">
        <v>572</v>
      </c>
      <c r="E196" s="50" t="s">
        <v>573</v>
      </c>
      <c r="F196" s="49" t="s">
        <v>90</v>
      </c>
      <c r="G196" s="42" t="s">
        <v>90</v>
      </c>
      <c r="H196" s="16"/>
      <c r="I196" s="24"/>
      <c r="J196" s="42" t="s">
        <v>90</v>
      </c>
      <c r="K196" s="16"/>
      <c r="L196" s="24"/>
    </row>
    <row r="197" spans="3:12">
      <c r="C197" s="16"/>
      <c r="D197" s="54" t="s">
        <v>574</v>
      </c>
      <c r="E197" s="50" t="s">
        <v>575</v>
      </c>
      <c r="F197" s="49" t="s">
        <v>35</v>
      </c>
      <c r="G197" s="42" t="s">
        <v>35</v>
      </c>
      <c r="H197" s="16"/>
      <c r="I197" s="24"/>
      <c r="J197" s="42" t="s">
        <v>35</v>
      </c>
      <c r="K197" s="16"/>
      <c r="L197" s="24"/>
    </row>
    <row r="198" spans="3:12">
      <c r="C198" s="16"/>
      <c r="D198" s="54" t="s">
        <v>576</v>
      </c>
      <c r="E198" s="50" t="s">
        <v>577</v>
      </c>
      <c r="F198" s="49" t="s">
        <v>578</v>
      </c>
      <c r="G198" s="42" t="s">
        <v>578</v>
      </c>
      <c r="H198" s="16"/>
      <c r="I198" s="24"/>
      <c r="J198" s="42" t="s">
        <v>578</v>
      </c>
      <c r="K198" s="16"/>
      <c r="L198" s="24"/>
    </row>
    <row r="199" spans="3:12">
      <c r="C199" s="16"/>
      <c r="D199" s="54" t="s">
        <v>579</v>
      </c>
      <c r="E199" s="50" t="s">
        <v>580</v>
      </c>
      <c r="F199" s="49" t="s">
        <v>35</v>
      </c>
      <c r="G199" s="42" t="s">
        <v>35</v>
      </c>
      <c r="H199" s="16"/>
      <c r="I199" s="24"/>
      <c r="J199" s="42" t="s">
        <v>35</v>
      </c>
      <c r="K199" s="16"/>
      <c r="L199" s="24"/>
    </row>
    <row r="200" spans="3:12">
      <c r="C200" s="84"/>
      <c r="D200" s="54" t="s">
        <v>581</v>
      </c>
      <c r="E200" s="50" t="s">
        <v>582</v>
      </c>
      <c r="F200" s="49" t="s">
        <v>583</v>
      </c>
      <c r="G200" s="42" t="s">
        <v>583</v>
      </c>
      <c r="H200" s="16"/>
      <c r="I200" s="24"/>
      <c r="J200" s="42" t="s">
        <v>583</v>
      </c>
      <c r="K200" s="16"/>
      <c r="L200" s="24"/>
    </row>
    <row r="201" spans="3:12">
      <c r="C201" s="84"/>
      <c r="D201" s="54" t="s">
        <v>584</v>
      </c>
      <c r="E201" s="50" t="s">
        <v>585</v>
      </c>
      <c r="F201" s="49" t="s">
        <v>35</v>
      </c>
      <c r="G201" s="42" t="s">
        <v>35</v>
      </c>
      <c r="H201" s="16"/>
      <c r="I201" s="24"/>
      <c r="J201" s="42" t="s">
        <v>35</v>
      </c>
      <c r="K201" s="16"/>
      <c r="L201" s="24"/>
    </row>
    <row r="202" spans="3:12">
      <c r="C202" s="16"/>
      <c r="D202" s="54" t="s">
        <v>586</v>
      </c>
      <c r="E202" s="50" t="s">
        <v>587</v>
      </c>
      <c r="F202" s="49" t="s">
        <v>588</v>
      </c>
      <c r="G202" s="42" t="s">
        <v>588</v>
      </c>
      <c r="H202" s="16"/>
      <c r="I202" s="24"/>
      <c r="J202" s="42" t="s">
        <v>588</v>
      </c>
      <c r="K202" s="16"/>
      <c r="L202" s="24"/>
    </row>
    <row r="203" spans="3:12">
      <c r="C203" s="16"/>
      <c r="D203" s="54" t="s">
        <v>589</v>
      </c>
      <c r="E203" s="50" t="s">
        <v>590</v>
      </c>
      <c r="F203" s="49" t="s">
        <v>90</v>
      </c>
      <c r="G203" s="42" t="s">
        <v>90</v>
      </c>
      <c r="H203" s="16"/>
      <c r="I203" s="24"/>
      <c r="J203" s="42" t="s">
        <v>90</v>
      </c>
      <c r="K203" s="16"/>
      <c r="L203" s="24"/>
    </row>
    <row r="204" spans="3:12">
      <c r="C204" s="16"/>
      <c r="D204" s="54" t="s">
        <v>591</v>
      </c>
      <c r="E204" s="50" t="s">
        <v>592</v>
      </c>
      <c r="F204" s="49" t="s">
        <v>544</v>
      </c>
      <c r="G204" s="42" t="s">
        <v>544</v>
      </c>
      <c r="H204" s="16"/>
      <c r="I204" s="24"/>
      <c r="J204" s="42" t="s">
        <v>544</v>
      </c>
      <c r="K204" s="16"/>
      <c r="L204" s="24"/>
    </row>
    <row r="205" spans="3:12">
      <c r="C205" s="84"/>
      <c r="D205" s="54" t="s">
        <v>593</v>
      </c>
      <c r="E205" s="50" t="s">
        <v>594</v>
      </c>
      <c r="F205" s="49" t="s">
        <v>90</v>
      </c>
      <c r="G205" s="42" t="s">
        <v>90</v>
      </c>
      <c r="H205" s="16"/>
      <c r="I205" s="24"/>
      <c r="J205" s="42" t="s">
        <v>90</v>
      </c>
      <c r="K205" s="16"/>
      <c r="L205" s="24"/>
    </row>
    <row r="206" spans="3:12">
      <c r="C206" s="84"/>
      <c r="D206" s="54" t="s">
        <v>595</v>
      </c>
      <c r="E206" s="50" t="s">
        <v>596</v>
      </c>
      <c r="F206" s="49" t="s">
        <v>38</v>
      </c>
      <c r="G206" s="42" t="s">
        <v>38</v>
      </c>
      <c r="H206" s="16"/>
      <c r="I206" s="24"/>
      <c r="J206" s="42" t="s">
        <v>38</v>
      </c>
      <c r="K206" s="16"/>
      <c r="L206" s="24"/>
    </row>
    <row r="207" spans="3:12">
      <c r="C207" s="16"/>
      <c r="D207" s="54" t="s">
        <v>597</v>
      </c>
      <c r="E207" s="50" t="s">
        <v>598</v>
      </c>
      <c r="F207" s="49" t="s">
        <v>599</v>
      </c>
      <c r="G207" s="42" t="s">
        <v>599</v>
      </c>
      <c r="H207" s="16"/>
      <c r="I207" s="24"/>
      <c r="J207" s="42" t="s">
        <v>599</v>
      </c>
      <c r="K207" s="16"/>
      <c r="L207" s="24"/>
    </row>
    <row r="208" spans="3:12">
      <c r="C208" s="16"/>
      <c r="D208" s="54" t="s">
        <v>600</v>
      </c>
      <c r="E208" s="50" t="s">
        <v>601</v>
      </c>
      <c r="F208" s="49" t="s">
        <v>35</v>
      </c>
      <c r="G208" s="42" t="s">
        <v>35</v>
      </c>
      <c r="H208" s="16"/>
      <c r="I208" s="24"/>
      <c r="J208" s="42" t="s">
        <v>35</v>
      </c>
      <c r="K208" s="16"/>
      <c r="L208" s="24"/>
    </row>
    <row r="209" spans="3:12">
      <c r="C209" s="16"/>
      <c r="D209" s="54" t="s">
        <v>602</v>
      </c>
      <c r="E209" s="50" t="s">
        <v>603</v>
      </c>
      <c r="F209" s="49" t="s">
        <v>583</v>
      </c>
      <c r="G209" s="42" t="s">
        <v>583</v>
      </c>
      <c r="H209" s="16"/>
      <c r="I209" s="24"/>
      <c r="J209" s="42" t="s">
        <v>583</v>
      </c>
      <c r="K209" s="16"/>
      <c r="L209" s="24"/>
    </row>
    <row r="210" spans="3:12">
      <c r="C210" s="84"/>
      <c r="D210" s="54" t="s">
        <v>604</v>
      </c>
      <c r="E210" s="50" t="s">
        <v>605</v>
      </c>
      <c r="F210" s="49" t="s">
        <v>35</v>
      </c>
      <c r="G210" s="42" t="s">
        <v>35</v>
      </c>
      <c r="H210" s="16"/>
      <c r="I210" s="24"/>
      <c r="J210" s="42" t="s">
        <v>35</v>
      </c>
      <c r="K210" s="16"/>
      <c r="L210" s="24"/>
    </row>
    <row r="211" spans="3:12">
      <c r="C211" s="84"/>
      <c r="D211" s="54" t="s">
        <v>606</v>
      </c>
      <c r="E211" s="50" t="s">
        <v>607</v>
      </c>
      <c r="F211" s="49" t="s">
        <v>466</v>
      </c>
      <c r="G211" s="42" t="s">
        <v>466</v>
      </c>
      <c r="H211" s="16"/>
      <c r="I211" s="24"/>
      <c r="J211" s="42" t="s">
        <v>466</v>
      </c>
      <c r="K211" s="16"/>
      <c r="L211" s="24"/>
    </row>
    <row r="212" spans="3:12">
      <c r="C212" s="16"/>
      <c r="D212" s="54" t="s">
        <v>608</v>
      </c>
      <c r="E212" s="50" t="s">
        <v>609</v>
      </c>
      <c r="F212" s="49" t="s">
        <v>90</v>
      </c>
      <c r="G212" s="42" t="s">
        <v>90</v>
      </c>
      <c r="H212" s="16"/>
      <c r="I212" s="24"/>
      <c r="J212" s="42" t="s">
        <v>90</v>
      </c>
      <c r="K212" s="16"/>
      <c r="L212" s="24"/>
    </row>
    <row r="213" spans="3:12">
      <c r="C213" s="16"/>
      <c r="D213" s="54" t="s">
        <v>610</v>
      </c>
      <c r="E213" s="50" t="s">
        <v>611</v>
      </c>
      <c r="F213" s="49" t="s">
        <v>544</v>
      </c>
      <c r="G213" s="42" t="s">
        <v>544</v>
      </c>
      <c r="H213" s="16"/>
      <c r="I213" s="24"/>
      <c r="J213" s="42" t="s">
        <v>544</v>
      </c>
      <c r="K213" s="16"/>
      <c r="L213" s="24"/>
    </row>
    <row r="214" spans="3:12">
      <c r="C214" s="16"/>
      <c r="D214" s="54" t="s">
        <v>612</v>
      </c>
      <c r="E214" s="50" t="s">
        <v>613</v>
      </c>
      <c r="F214" s="49" t="s">
        <v>90</v>
      </c>
      <c r="G214" s="42" t="s">
        <v>90</v>
      </c>
      <c r="H214" s="16"/>
      <c r="I214" s="24"/>
      <c r="J214" s="42" t="s">
        <v>90</v>
      </c>
      <c r="K214" s="16"/>
      <c r="L214" s="24"/>
    </row>
    <row r="215" spans="3:12">
      <c r="C215" s="84"/>
      <c r="D215" s="54" t="s">
        <v>614</v>
      </c>
      <c r="E215" s="50" t="s">
        <v>615</v>
      </c>
      <c r="F215" s="49" t="s">
        <v>38</v>
      </c>
      <c r="G215" s="42" t="s">
        <v>38</v>
      </c>
      <c r="H215" s="16"/>
      <c r="I215" s="24"/>
      <c r="J215" s="42" t="s">
        <v>38</v>
      </c>
      <c r="K215" s="16"/>
      <c r="L215" s="24"/>
    </row>
    <row r="216" spans="3:12">
      <c r="C216" s="84"/>
      <c r="D216" s="54" t="s">
        <v>616</v>
      </c>
      <c r="E216" s="50" t="s">
        <v>617</v>
      </c>
      <c r="F216" s="49" t="s">
        <v>618</v>
      </c>
      <c r="G216" s="42" t="s">
        <v>275</v>
      </c>
      <c r="H216" s="16"/>
      <c r="I216" s="24"/>
      <c r="J216" s="42" t="s">
        <v>275</v>
      </c>
      <c r="K216" s="16"/>
      <c r="L216" s="24"/>
    </row>
    <row r="217" spans="3:12">
      <c r="C217" s="16"/>
      <c r="D217" s="54" t="s">
        <v>619</v>
      </c>
      <c r="E217" s="50" t="s">
        <v>620</v>
      </c>
      <c r="F217" s="49" t="s">
        <v>38</v>
      </c>
      <c r="G217" s="42" t="s">
        <v>138</v>
      </c>
      <c r="H217" s="16"/>
      <c r="I217" s="24"/>
      <c r="J217" s="42" t="s">
        <v>138</v>
      </c>
      <c r="K217" s="16"/>
      <c r="L217" s="24"/>
    </row>
    <row r="218" spans="3:12">
      <c r="C218" s="16"/>
      <c r="D218" s="54" t="s">
        <v>621</v>
      </c>
      <c r="E218" s="50" t="s">
        <v>622</v>
      </c>
      <c r="F218" s="49" t="s">
        <v>599</v>
      </c>
      <c r="G218" s="42" t="s">
        <v>275</v>
      </c>
      <c r="H218" s="16"/>
      <c r="I218" s="24"/>
      <c r="J218" s="42" t="s">
        <v>275</v>
      </c>
      <c r="K218" s="16"/>
      <c r="L218" s="24"/>
    </row>
    <row r="219" spans="3:12">
      <c r="C219" s="16"/>
      <c r="D219" s="54" t="s">
        <v>623</v>
      </c>
      <c r="E219" s="50" t="s">
        <v>624</v>
      </c>
      <c r="F219" s="49" t="s">
        <v>35</v>
      </c>
      <c r="G219" s="42" t="s">
        <v>138</v>
      </c>
      <c r="H219" s="16"/>
      <c r="I219" s="24"/>
      <c r="J219" s="42" t="s">
        <v>138</v>
      </c>
      <c r="K219" s="16"/>
      <c r="L219" s="24"/>
    </row>
    <row r="220" spans="3:12">
      <c r="C220" s="84"/>
      <c r="D220" s="54" t="s">
        <v>625</v>
      </c>
      <c r="E220" s="50" t="s">
        <v>626</v>
      </c>
      <c r="F220" s="49" t="s">
        <v>627</v>
      </c>
      <c r="G220" s="42" t="s">
        <v>275</v>
      </c>
      <c r="H220" s="16"/>
      <c r="I220" s="24"/>
      <c r="J220" s="42" t="s">
        <v>275</v>
      </c>
      <c r="K220" s="16"/>
      <c r="L220" s="24"/>
    </row>
    <row r="221" spans="3:12">
      <c r="C221" s="84"/>
      <c r="D221" s="54" t="s">
        <v>628</v>
      </c>
      <c r="E221" s="50" t="s">
        <v>629</v>
      </c>
      <c r="F221" s="49" t="s">
        <v>90</v>
      </c>
      <c r="G221" s="42" t="s">
        <v>138</v>
      </c>
      <c r="H221" s="16"/>
      <c r="I221" s="24"/>
      <c r="J221" s="42" t="s">
        <v>138</v>
      </c>
      <c r="K221" s="16"/>
      <c r="L221" s="24"/>
    </row>
    <row r="222" spans="3:12">
      <c r="C222" s="16"/>
      <c r="D222" s="54" t="s">
        <v>630</v>
      </c>
      <c r="E222" s="50" t="s">
        <v>631</v>
      </c>
      <c r="F222" s="49" t="s">
        <v>466</v>
      </c>
      <c r="G222" s="42" t="s">
        <v>275</v>
      </c>
      <c r="H222" s="16"/>
      <c r="I222" s="24"/>
      <c r="J222" s="42" t="s">
        <v>275</v>
      </c>
      <c r="K222" s="16"/>
      <c r="L222" s="24"/>
    </row>
    <row r="223" spans="3:12">
      <c r="C223" s="16"/>
      <c r="D223" s="54" t="s">
        <v>632</v>
      </c>
      <c r="E223" s="50" t="s">
        <v>633</v>
      </c>
      <c r="F223" s="49" t="s">
        <v>90</v>
      </c>
      <c r="G223" s="42" t="s">
        <v>138</v>
      </c>
      <c r="H223" s="16"/>
      <c r="I223" s="24"/>
      <c r="J223" s="42" t="s">
        <v>138</v>
      </c>
      <c r="K223" s="16"/>
      <c r="L223" s="24"/>
    </row>
    <row r="224" spans="3:12">
      <c r="C224" s="16"/>
      <c r="D224" s="54" t="s">
        <v>634</v>
      </c>
      <c r="E224" s="50" t="s">
        <v>635</v>
      </c>
      <c r="F224" s="49" t="s">
        <v>38</v>
      </c>
      <c r="G224" s="42" t="s">
        <v>38</v>
      </c>
      <c r="H224" s="16"/>
      <c r="I224" s="24"/>
      <c r="J224" s="42" t="s">
        <v>38</v>
      </c>
      <c r="K224" s="16"/>
      <c r="L224" s="24"/>
    </row>
    <row r="225" spans="3:12">
      <c r="C225" s="84"/>
      <c r="D225" s="54" t="s">
        <v>636</v>
      </c>
      <c r="E225" s="50" t="s">
        <v>637</v>
      </c>
      <c r="F225" s="49" t="s">
        <v>638</v>
      </c>
      <c r="G225" s="42" t="s">
        <v>275</v>
      </c>
      <c r="H225" s="16"/>
      <c r="I225" s="24"/>
      <c r="J225" s="42" t="s">
        <v>275</v>
      </c>
      <c r="K225" s="16"/>
      <c r="L225" s="24"/>
    </row>
    <row r="226" spans="3:12">
      <c r="C226" s="84"/>
      <c r="D226" s="54" t="s">
        <v>639</v>
      </c>
      <c r="E226" s="50" t="s">
        <v>640</v>
      </c>
      <c r="F226" s="49" t="s">
        <v>38</v>
      </c>
      <c r="G226" s="42" t="s">
        <v>138</v>
      </c>
      <c r="H226" s="16"/>
      <c r="I226" s="24"/>
      <c r="J226" s="42" t="s">
        <v>138</v>
      </c>
      <c r="K226" s="16"/>
      <c r="L226" s="24"/>
    </row>
    <row r="227" spans="3:12">
      <c r="C227" s="16"/>
      <c r="D227" s="54" t="s">
        <v>641</v>
      </c>
      <c r="E227" s="50" t="s">
        <v>642</v>
      </c>
      <c r="F227" s="49" t="s">
        <v>234</v>
      </c>
      <c r="G227" s="42" t="s">
        <v>275</v>
      </c>
      <c r="H227" s="16"/>
      <c r="I227" s="24"/>
      <c r="J227" s="42" t="s">
        <v>275</v>
      </c>
      <c r="K227" s="16"/>
      <c r="L227" s="24"/>
    </row>
    <row r="228" spans="3:12">
      <c r="C228" s="16"/>
      <c r="D228" s="54" t="s">
        <v>643</v>
      </c>
      <c r="E228" s="50" t="s">
        <v>644</v>
      </c>
      <c r="F228" s="49" t="s">
        <v>35</v>
      </c>
      <c r="G228" s="42" t="s">
        <v>138</v>
      </c>
      <c r="H228" s="16"/>
      <c r="I228" s="24"/>
      <c r="J228" s="42" t="s">
        <v>138</v>
      </c>
      <c r="K228" s="16"/>
      <c r="L228" s="24"/>
    </row>
    <row r="229" spans="3:12">
      <c r="C229" s="16"/>
      <c r="D229" s="54" t="s">
        <v>645</v>
      </c>
      <c r="E229" s="50" t="s">
        <v>646</v>
      </c>
      <c r="F229" s="49" t="s">
        <v>647</v>
      </c>
      <c r="G229" s="42" t="s">
        <v>275</v>
      </c>
      <c r="H229" s="16"/>
      <c r="I229" s="24"/>
      <c r="J229" s="42" t="s">
        <v>275</v>
      </c>
      <c r="K229" s="16"/>
      <c r="L229" s="24"/>
    </row>
    <row r="230" spans="3:12">
      <c r="C230" s="84"/>
      <c r="D230" s="54" t="s">
        <v>648</v>
      </c>
      <c r="E230" s="50" t="s">
        <v>649</v>
      </c>
      <c r="F230" s="49" t="s">
        <v>35</v>
      </c>
      <c r="G230" s="42" t="s">
        <v>138</v>
      </c>
      <c r="H230" s="16"/>
      <c r="I230" s="24"/>
      <c r="J230" s="42" t="s">
        <v>138</v>
      </c>
      <c r="K230" s="16"/>
      <c r="L230" s="24"/>
    </row>
    <row r="231" spans="3:12">
      <c r="C231" s="84"/>
      <c r="D231" s="54" t="s">
        <v>650</v>
      </c>
      <c r="E231" s="50" t="s">
        <v>651</v>
      </c>
      <c r="F231" s="49" t="s">
        <v>652</v>
      </c>
      <c r="G231" s="42" t="s">
        <v>275</v>
      </c>
      <c r="H231" s="16"/>
      <c r="I231" s="24"/>
      <c r="J231" s="42" t="s">
        <v>275</v>
      </c>
      <c r="K231" s="16"/>
      <c r="L231" s="24"/>
    </row>
    <row r="232" spans="3:12">
      <c r="C232" s="16"/>
      <c r="D232" s="54" t="s">
        <v>653</v>
      </c>
      <c r="E232" s="50" t="s">
        <v>654</v>
      </c>
      <c r="F232" s="49" t="s">
        <v>90</v>
      </c>
      <c r="G232" s="42" t="s">
        <v>138</v>
      </c>
      <c r="H232" s="16"/>
      <c r="I232" s="24"/>
      <c r="J232" s="42" t="s">
        <v>138</v>
      </c>
      <c r="K232" s="16"/>
      <c r="L232" s="24"/>
    </row>
    <row r="233" spans="3:12">
      <c r="C233" s="16"/>
      <c r="D233" s="54" t="s">
        <v>655</v>
      </c>
      <c r="E233" s="50" t="s">
        <v>656</v>
      </c>
      <c r="F233" s="49" t="s">
        <v>38</v>
      </c>
      <c r="G233" s="42" t="s">
        <v>38</v>
      </c>
      <c r="H233" s="16"/>
      <c r="I233" s="24"/>
      <c r="J233" s="42" t="s">
        <v>38</v>
      </c>
      <c r="K233" s="16"/>
      <c r="L233" s="24"/>
    </row>
    <row r="234" spans="3:12">
      <c r="C234" s="16"/>
      <c r="D234" s="54" t="s">
        <v>657</v>
      </c>
      <c r="E234" s="50" t="s">
        <v>658</v>
      </c>
      <c r="F234" s="49" t="s">
        <v>659</v>
      </c>
      <c r="G234" s="42" t="s">
        <v>275</v>
      </c>
      <c r="H234" s="16"/>
      <c r="I234" s="24"/>
      <c r="J234" s="42" t="s">
        <v>275</v>
      </c>
      <c r="K234" s="16"/>
      <c r="L234" s="24"/>
    </row>
    <row r="235" spans="3:12">
      <c r="C235" s="84"/>
      <c r="D235" s="54" t="s">
        <v>660</v>
      </c>
      <c r="E235" s="50" t="s">
        <v>661</v>
      </c>
      <c r="F235" s="49" t="s">
        <v>38</v>
      </c>
      <c r="G235" s="42" t="s">
        <v>138</v>
      </c>
      <c r="H235" s="16"/>
      <c r="I235" s="24"/>
      <c r="J235" s="42" t="s">
        <v>138</v>
      </c>
      <c r="K235" s="16"/>
      <c r="L235" s="24"/>
    </row>
    <row r="236" spans="3:12">
      <c r="C236" s="84"/>
      <c r="D236" s="54" t="s">
        <v>662</v>
      </c>
      <c r="E236" s="50" t="s">
        <v>663</v>
      </c>
      <c r="F236" s="49" t="s">
        <v>659</v>
      </c>
      <c r="G236" s="42" t="s">
        <v>275</v>
      </c>
      <c r="H236" s="16"/>
      <c r="I236" s="24"/>
      <c r="J236" s="42" t="s">
        <v>275</v>
      </c>
      <c r="K236" s="16"/>
      <c r="L236" s="24"/>
    </row>
    <row r="237" spans="3:12">
      <c r="C237" s="16"/>
      <c r="D237" s="54" t="s">
        <v>664</v>
      </c>
      <c r="E237" s="50" t="s">
        <v>665</v>
      </c>
      <c r="F237" s="49" t="s">
        <v>35</v>
      </c>
      <c r="G237" s="42" t="s">
        <v>138</v>
      </c>
      <c r="H237" s="16"/>
      <c r="I237" s="24"/>
      <c r="J237" s="42" t="s">
        <v>138</v>
      </c>
      <c r="K237" s="16"/>
      <c r="L237" s="24"/>
    </row>
    <row r="238" spans="3:12">
      <c r="C238" s="16"/>
      <c r="D238" s="54" t="s">
        <v>666</v>
      </c>
      <c r="E238" s="50" t="s">
        <v>667</v>
      </c>
      <c r="F238" s="49" t="s">
        <v>668</v>
      </c>
      <c r="G238" s="42" t="s">
        <v>275</v>
      </c>
      <c r="H238" s="16"/>
      <c r="I238" s="24"/>
      <c r="J238" s="42" t="s">
        <v>275</v>
      </c>
      <c r="K238" s="16"/>
      <c r="L238" s="24"/>
    </row>
    <row r="239" spans="3:12">
      <c r="C239" s="16"/>
      <c r="D239" s="54" t="s">
        <v>669</v>
      </c>
      <c r="E239" s="50" t="s">
        <v>670</v>
      </c>
      <c r="F239" s="49" t="s">
        <v>35</v>
      </c>
      <c r="G239" s="42" t="s">
        <v>138</v>
      </c>
      <c r="H239" s="16"/>
      <c r="I239" s="24"/>
      <c r="J239" s="42" t="s">
        <v>138</v>
      </c>
      <c r="K239" s="16"/>
      <c r="L239" s="24"/>
    </row>
    <row r="240" spans="3:12">
      <c r="C240" s="84"/>
      <c r="D240" s="54" t="s">
        <v>671</v>
      </c>
      <c r="E240" s="50" t="s">
        <v>672</v>
      </c>
      <c r="F240" s="49" t="s">
        <v>668</v>
      </c>
      <c r="G240" s="42" t="s">
        <v>275</v>
      </c>
      <c r="H240" s="16"/>
      <c r="I240" s="24"/>
      <c r="J240" s="42" t="s">
        <v>275</v>
      </c>
      <c r="K240" s="16"/>
      <c r="L240" s="24"/>
    </row>
    <row r="241" spans="3:12">
      <c r="C241" s="84"/>
      <c r="D241" s="54" t="s">
        <v>673</v>
      </c>
      <c r="E241" s="50" t="s">
        <v>674</v>
      </c>
      <c r="F241" s="49" t="s">
        <v>90</v>
      </c>
      <c r="G241" s="42" t="s">
        <v>138</v>
      </c>
      <c r="H241" s="16"/>
      <c r="I241" s="24"/>
      <c r="J241" s="42" t="s">
        <v>138</v>
      </c>
      <c r="K241" s="16"/>
      <c r="L241" s="24"/>
    </row>
    <row r="242" spans="3:12">
      <c r="C242" s="16"/>
      <c r="D242" s="54" t="s">
        <v>675</v>
      </c>
      <c r="E242" s="50" t="s">
        <v>676</v>
      </c>
      <c r="F242" s="49" t="s">
        <v>38</v>
      </c>
      <c r="G242" s="42" t="s">
        <v>38</v>
      </c>
      <c r="H242" s="16"/>
      <c r="I242" s="24"/>
      <c r="J242" s="42" t="s">
        <v>38</v>
      </c>
      <c r="K242" s="16"/>
      <c r="L242" s="24"/>
    </row>
    <row r="243" spans="3:12">
      <c r="C243" s="16"/>
      <c r="D243" s="54" t="s">
        <v>677</v>
      </c>
      <c r="E243" s="50" t="s">
        <v>678</v>
      </c>
      <c r="F243" s="49" t="s">
        <v>679</v>
      </c>
      <c r="G243" s="42" t="s">
        <v>275</v>
      </c>
      <c r="H243" s="16"/>
      <c r="I243" s="24"/>
      <c r="J243" s="42" t="s">
        <v>275</v>
      </c>
      <c r="K243" s="16"/>
      <c r="L243" s="24"/>
    </row>
    <row r="244" spans="3:12">
      <c r="C244" s="16"/>
      <c r="D244" s="54" t="s">
        <v>680</v>
      </c>
      <c r="E244" s="50" t="s">
        <v>681</v>
      </c>
      <c r="F244" s="49" t="s">
        <v>38</v>
      </c>
      <c r="G244" s="42" t="s">
        <v>138</v>
      </c>
      <c r="H244" s="16"/>
      <c r="I244" s="24"/>
      <c r="J244" s="42" t="s">
        <v>138</v>
      </c>
      <c r="K244" s="16"/>
      <c r="L244" s="24"/>
    </row>
    <row r="245" spans="3:12">
      <c r="C245" s="84"/>
      <c r="D245" s="54" t="s">
        <v>682</v>
      </c>
      <c r="E245" s="50" t="s">
        <v>683</v>
      </c>
      <c r="F245" s="49" t="s">
        <v>684</v>
      </c>
      <c r="G245" s="42" t="s">
        <v>275</v>
      </c>
      <c r="H245" s="16"/>
      <c r="I245" s="24"/>
      <c r="J245" s="42" t="s">
        <v>275</v>
      </c>
      <c r="K245" s="16"/>
      <c r="L245" s="24"/>
    </row>
    <row r="246" spans="3:12">
      <c r="C246" s="84"/>
      <c r="D246" s="54" t="s">
        <v>685</v>
      </c>
      <c r="E246" s="50" t="s">
        <v>686</v>
      </c>
      <c r="F246" s="49" t="s">
        <v>38</v>
      </c>
      <c r="G246" s="42" t="s">
        <v>138</v>
      </c>
      <c r="H246" s="16"/>
      <c r="I246" s="24"/>
      <c r="J246" s="42" t="s">
        <v>138</v>
      </c>
      <c r="K246" s="16"/>
      <c r="L246" s="24"/>
    </row>
    <row r="247" spans="3:12">
      <c r="C247" s="16"/>
      <c r="D247" s="54" t="s">
        <v>687</v>
      </c>
      <c r="E247" s="50" t="s">
        <v>688</v>
      </c>
      <c r="F247" s="49" t="s">
        <v>689</v>
      </c>
      <c r="G247" s="42" t="s">
        <v>275</v>
      </c>
      <c r="H247" s="16"/>
      <c r="I247" s="24"/>
      <c r="J247" s="42" t="s">
        <v>275</v>
      </c>
      <c r="K247" s="16"/>
      <c r="L247" s="24"/>
    </row>
    <row r="248" spans="3:12">
      <c r="C248" s="16"/>
      <c r="D248" s="54" t="s">
        <v>690</v>
      </c>
      <c r="E248" s="50" t="s">
        <v>691</v>
      </c>
      <c r="F248" s="49" t="s">
        <v>38</v>
      </c>
      <c r="G248" s="42" t="s">
        <v>138</v>
      </c>
      <c r="H248" s="16"/>
      <c r="I248" s="24"/>
      <c r="J248" s="42" t="s">
        <v>138</v>
      </c>
      <c r="K248" s="16"/>
      <c r="L248" s="24"/>
    </row>
    <row r="249" spans="3:12">
      <c r="C249" s="16"/>
      <c r="D249" s="54" t="s">
        <v>692</v>
      </c>
      <c r="E249" s="50" t="s">
        <v>693</v>
      </c>
      <c r="F249" s="49" t="s">
        <v>694</v>
      </c>
      <c r="G249" s="42" t="s">
        <v>275</v>
      </c>
      <c r="H249" s="16"/>
      <c r="I249" s="24"/>
      <c r="J249" s="42" t="s">
        <v>275</v>
      </c>
      <c r="K249" s="16"/>
      <c r="L249" s="24"/>
    </row>
    <row r="250" spans="3:12">
      <c r="C250" s="84"/>
      <c r="D250" s="54" t="s">
        <v>695</v>
      </c>
      <c r="E250" s="50" t="s">
        <v>696</v>
      </c>
      <c r="F250" s="49" t="s">
        <v>38</v>
      </c>
      <c r="G250" s="42" t="s">
        <v>138</v>
      </c>
      <c r="H250" s="16"/>
      <c r="I250" s="24"/>
      <c r="J250" s="42" t="s">
        <v>138</v>
      </c>
      <c r="K250" s="16"/>
      <c r="L250" s="24"/>
    </row>
    <row r="251" spans="3:12">
      <c r="C251" s="84"/>
      <c r="D251" s="54" t="s">
        <v>697</v>
      </c>
      <c r="E251" s="50" t="s">
        <v>698</v>
      </c>
      <c r="F251" s="49" t="s">
        <v>679</v>
      </c>
      <c r="G251" s="42" t="s">
        <v>275</v>
      </c>
      <c r="H251" s="16"/>
      <c r="I251" s="24"/>
      <c r="J251" s="42" t="s">
        <v>275</v>
      </c>
      <c r="K251" s="16"/>
      <c r="L251" s="24"/>
    </row>
    <row r="252" spans="3:12">
      <c r="C252" s="16"/>
      <c r="D252" s="54" t="s">
        <v>699</v>
      </c>
      <c r="E252" s="50" t="s">
        <v>700</v>
      </c>
      <c r="F252" s="49" t="s">
        <v>35</v>
      </c>
      <c r="G252" s="42" t="s">
        <v>138</v>
      </c>
      <c r="H252" s="16"/>
      <c r="I252" s="24"/>
      <c r="J252" s="42" t="s">
        <v>138</v>
      </c>
      <c r="K252" s="16"/>
      <c r="L252" s="24"/>
    </row>
    <row r="253" spans="3:12">
      <c r="C253" s="16"/>
      <c r="D253" s="54" t="s">
        <v>701</v>
      </c>
      <c r="E253" s="50" t="s">
        <v>702</v>
      </c>
      <c r="F253" s="49" t="s">
        <v>703</v>
      </c>
      <c r="G253" s="42" t="s">
        <v>275</v>
      </c>
      <c r="H253" s="16"/>
      <c r="I253" s="24"/>
      <c r="J253" s="42" t="s">
        <v>275</v>
      </c>
      <c r="K253" s="16"/>
      <c r="L253" s="24"/>
    </row>
    <row r="254" spans="3:12">
      <c r="C254" s="16"/>
      <c r="D254" s="54" t="s">
        <v>704</v>
      </c>
      <c r="E254" s="50" t="s">
        <v>705</v>
      </c>
      <c r="F254" s="49" t="s">
        <v>35</v>
      </c>
      <c r="G254" s="42" t="s">
        <v>138</v>
      </c>
      <c r="H254" s="16"/>
      <c r="I254" s="24"/>
      <c r="J254" s="42" t="s">
        <v>138</v>
      </c>
      <c r="K254" s="16"/>
      <c r="L254" s="24"/>
    </row>
    <row r="255" spans="3:12">
      <c r="C255" s="84"/>
      <c r="D255" s="54" t="s">
        <v>706</v>
      </c>
      <c r="E255" s="50" t="s">
        <v>707</v>
      </c>
      <c r="F255" s="49" t="s">
        <v>493</v>
      </c>
      <c r="G255" s="42" t="s">
        <v>275</v>
      </c>
      <c r="H255" s="16"/>
      <c r="I255" s="24"/>
      <c r="J255" s="42" t="s">
        <v>275</v>
      </c>
      <c r="K255" s="16"/>
      <c r="L255" s="24"/>
    </row>
    <row r="256" spans="3:12">
      <c r="C256" s="84"/>
      <c r="D256" s="54" t="s">
        <v>708</v>
      </c>
      <c r="E256" s="50" t="s">
        <v>709</v>
      </c>
      <c r="F256" s="49" t="s">
        <v>35</v>
      </c>
      <c r="G256" s="42" t="s">
        <v>138</v>
      </c>
      <c r="H256" s="16"/>
      <c r="I256" s="24"/>
      <c r="J256" s="42" t="s">
        <v>138</v>
      </c>
      <c r="K256" s="16"/>
      <c r="L256" s="24"/>
    </row>
    <row r="257" spans="3:12">
      <c r="C257" s="16"/>
      <c r="D257" s="54" t="s">
        <v>710</v>
      </c>
      <c r="E257" s="50" t="s">
        <v>711</v>
      </c>
      <c r="F257" s="49" t="s">
        <v>712</v>
      </c>
      <c r="G257" s="42" t="s">
        <v>275</v>
      </c>
      <c r="H257" s="16"/>
      <c r="I257" s="24"/>
      <c r="J257" s="42" t="s">
        <v>275</v>
      </c>
      <c r="K257" s="16"/>
      <c r="L257" s="24"/>
    </row>
    <row r="258" spans="3:12">
      <c r="C258" s="16"/>
      <c r="D258" s="54" t="s">
        <v>713</v>
      </c>
      <c r="E258" s="50" t="s">
        <v>714</v>
      </c>
      <c r="F258" s="49" t="s">
        <v>35</v>
      </c>
      <c r="G258" s="42" t="s">
        <v>138</v>
      </c>
      <c r="H258" s="16"/>
      <c r="I258" s="24"/>
      <c r="J258" s="42" t="s">
        <v>138</v>
      </c>
      <c r="K258" s="16"/>
      <c r="L258" s="24"/>
    </row>
    <row r="259" spans="3:12">
      <c r="C259" s="16"/>
      <c r="D259" s="54" t="s">
        <v>715</v>
      </c>
      <c r="E259" s="50" t="s">
        <v>716</v>
      </c>
      <c r="F259" s="49" t="s">
        <v>717</v>
      </c>
      <c r="G259" s="42" t="s">
        <v>275</v>
      </c>
      <c r="H259" s="16"/>
      <c r="I259" s="24"/>
      <c r="J259" s="42" t="s">
        <v>275</v>
      </c>
      <c r="K259" s="16"/>
      <c r="L259" s="24"/>
    </row>
    <row r="260" spans="3:12">
      <c r="C260" s="84"/>
      <c r="D260" s="54" t="s">
        <v>718</v>
      </c>
      <c r="E260" s="50" t="s">
        <v>719</v>
      </c>
      <c r="F260" s="49" t="s">
        <v>35</v>
      </c>
      <c r="G260" s="42" t="s">
        <v>138</v>
      </c>
      <c r="H260" s="16"/>
      <c r="I260" s="24"/>
      <c r="J260" s="42" t="s">
        <v>138</v>
      </c>
      <c r="K260" s="16"/>
      <c r="L260" s="24"/>
    </row>
    <row r="261" spans="3:12">
      <c r="C261" s="84"/>
      <c r="D261" s="54" t="s">
        <v>720</v>
      </c>
      <c r="E261" s="50" t="s">
        <v>721</v>
      </c>
      <c r="F261" s="49" t="s">
        <v>722</v>
      </c>
      <c r="G261" s="42" t="s">
        <v>275</v>
      </c>
      <c r="H261" s="16"/>
      <c r="I261" s="24"/>
      <c r="J261" s="42" t="s">
        <v>275</v>
      </c>
      <c r="K261" s="16"/>
      <c r="L261" s="24"/>
    </row>
    <row r="262" spans="3:12">
      <c r="C262" s="16"/>
      <c r="D262" s="54" t="s">
        <v>723</v>
      </c>
      <c r="E262" s="50" t="s">
        <v>724</v>
      </c>
      <c r="F262" s="49" t="s">
        <v>90</v>
      </c>
      <c r="G262" s="42" t="s">
        <v>138</v>
      </c>
      <c r="H262" s="16"/>
      <c r="I262" s="24"/>
      <c r="J262" s="42" t="s">
        <v>138</v>
      </c>
      <c r="K262" s="16"/>
      <c r="L262" s="24"/>
    </row>
    <row r="263" spans="3:12">
      <c r="C263" s="16"/>
      <c r="D263" s="54" t="s">
        <v>725</v>
      </c>
      <c r="E263" s="50" t="s">
        <v>726</v>
      </c>
      <c r="F263" s="49" t="s">
        <v>493</v>
      </c>
      <c r="G263" s="42" t="s">
        <v>275</v>
      </c>
      <c r="H263" s="16"/>
      <c r="I263" s="24"/>
      <c r="J263" s="42" t="s">
        <v>275</v>
      </c>
      <c r="K263" s="16"/>
      <c r="L263" s="24"/>
    </row>
    <row r="264" spans="3:12">
      <c r="C264" s="16"/>
      <c r="D264" s="54" t="s">
        <v>727</v>
      </c>
      <c r="E264" s="50" t="s">
        <v>728</v>
      </c>
      <c r="F264" s="49" t="s">
        <v>90</v>
      </c>
      <c r="G264" s="42" t="s">
        <v>138</v>
      </c>
      <c r="H264" s="16"/>
      <c r="I264" s="24"/>
      <c r="J264" s="42" t="s">
        <v>138</v>
      </c>
      <c r="K264" s="16"/>
      <c r="L264" s="24"/>
    </row>
    <row r="265" spans="3:12">
      <c r="C265" s="84"/>
      <c r="D265" s="54" t="s">
        <v>729</v>
      </c>
      <c r="E265" s="50" t="s">
        <v>730</v>
      </c>
      <c r="F265" s="49" t="s">
        <v>731</v>
      </c>
      <c r="G265" s="42" t="s">
        <v>275</v>
      </c>
      <c r="H265" s="16"/>
      <c r="I265" s="24"/>
      <c r="J265" s="42" t="s">
        <v>275</v>
      </c>
      <c r="K265" s="16"/>
      <c r="L265" s="24"/>
    </row>
    <row r="266" spans="3:12">
      <c r="C266" s="84"/>
      <c r="D266" s="54" t="s">
        <v>732</v>
      </c>
      <c r="E266" s="50" t="s">
        <v>733</v>
      </c>
      <c r="F266" s="49" t="s">
        <v>90</v>
      </c>
      <c r="G266" s="42" t="s">
        <v>138</v>
      </c>
      <c r="H266" s="16"/>
      <c r="I266" s="24"/>
      <c r="J266" s="42" t="s">
        <v>138</v>
      </c>
      <c r="K266" s="16"/>
      <c r="L266" s="24"/>
    </row>
    <row r="267" spans="3:12">
      <c r="C267" s="16"/>
      <c r="D267" s="54" t="s">
        <v>734</v>
      </c>
      <c r="E267" s="50" t="s">
        <v>735</v>
      </c>
      <c r="F267" s="49" t="s">
        <v>38</v>
      </c>
      <c r="G267" s="42" t="s">
        <v>38</v>
      </c>
      <c r="H267" s="16"/>
      <c r="I267" s="24"/>
      <c r="J267" s="42" t="s">
        <v>38</v>
      </c>
      <c r="K267" s="16"/>
      <c r="L267" s="24"/>
    </row>
    <row r="268" spans="3:12">
      <c r="C268" s="16"/>
      <c r="D268" s="54" t="s">
        <v>736</v>
      </c>
      <c r="E268" s="50" t="s">
        <v>737</v>
      </c>
      <c r="F268" s="49" t="s">
        <v>275</v>
      </c>
      <c r="G268" s="42" t="s">
        <v>275</v>
      </c>
      <c r="H268" s="16"/>
      <c r="I268" s="24"/>
      <c r="J268" s="42" t="s">
        <v>275</v>
      </c>
      <c r="K268" s="16"/>
      <c r="L268" s="24"/>
    </row>
    <row r="269" spans="3:12">
      <c r="C269" s="16"/>
      <c r="D269" s="54" t="s">
        <v>738</v>
      </c>
      <c r="E269" s="50" t="s">
        <v>739</v>
      </c>
      <c r="F269" s="49" t="s">
        <v>138</v>
      </c>
      <c r="G269" s="42" t="s">
        <v>138</v>
      </c>
      <c r="H269" s="16"/>
      <c r="I269" s="24"/>
      <c r="J269" s="42" t="s">
        <v>138</v>
      </c>
      <c r="K269" s="16"/>
      <c r="L269" s="24"/>
    </row>
    <row r="270" spans="3:12">
      <c r="C270" s="84"/>
      <c r="D270" s="54" t="s">
        <v>740</v>
      </c>
      <c r="E270" s="50" t="s">
        <v>741</v>
      </c>
      <c r="F270" s="49" t="s">
        <v>275</v>
      </c>
      <c r="G270" s="42" t="s">
        <v>275</v>
      </c>
      <c r="H270" s="16"/>
      <c r="I270" s="24"/>
      <c r="J270" s="42" t="s">
        <v>275</v>
      </c>
      <c r="K270" s="16"/>
      <c r="L270" s="24"/>
    </row>
    <row r="271" spans="3:12">
      <c r="C271" s="84"/>
      <c r="D271" s="54" t="s">
        <v>742</v>
      </c>
      <c r="E271" s="50" t="s">
        <v>743</v>
      </c>
      <c r="F271" s="49" t="s">
        <v>138</v>
      </c>
      <c r="G271" s="42" t="s">
        <v>138</v>
      </c>
      <c r="H271" s="16"/>
      <c r="I271" s="24"/>
      <c r="J271" s="42" t="s">
        <v>138</v>
      </c>
      <c r="K271" s="16"/>
      <c r="L271" s="24"/>
    </row>
    <row r="272" spans="3:12">
      <c r="C272" s="16"/>
      <c r="D272" s="54" t="s">
        <v>744</v>
      </c>
      <c r="E272" s="50" t="s">
        <v>745</v>
      </c>
      <c r="F272" s="49" t="s">
        <v>275</v>
      </c>
      <c r="G272" s="42" t="s">
        <v>275</v>
      </c>
      <c r="H272" s="16"/>
      <c r="I272" s="24"/>
      <c r="J272" s="42" t="s">
        <v>275</v>
      </c>
      <c r="K272" s="16"/>
      <c r="L272" s="24"/>
    </row>
    <row r="273" spans="3:12">
      <c r="C273" s="16"/>
      <c r="D273" s="54" t="s">
        <v>746</v>
      </c>
      <c r="E273" s="50" t="s">
        <v>747</v>
      </c>
      <c r="F273" s="49" t="s">
        <v>138</v>
      </c>
      <c r="G273" s="42" t="s">
        <v>138</v>
      </c>
      <c r="H273" s="16"/>
      <c r="I273" s="24"/>
      <c r="J273" s="42" t="s">
        <v>138</v>
      </c>
      <c r="K273" s="16"/>
      <c r="L273" s="24"/>
    </row>
    <row r="274" spans="3:12">
      <c r="C274" s="16"/>
      <c r="D274" s="54" t="s">
        <v>748</v>
      </c>
      <c r="E274" s="50" t="s">
        <v>749</v>
      </c>
      <c r="F274" s="49" t="s">
        <v>275</v>
      </c>
      <c r="G274" s="42" t="s">
        <v>275</v>
      </c>
      <c r="H274" s="16"/>
      <c r="I274" s="24"/>
      <c r="J274" s="42" t="s">
        <v>275</v>
      </c>
      <c r="K274" s="16"/>
      <c r="L274" s="24"/>
    </row>
    <row r="275" spans="3:12">
      <c r="C275" s="84"/>
      <c r="D275" s="54" t="s">
        <v>750</v>
      </c>
      <c r="E275" s="50" t="s">
        <v>751</v>
      </c>
      <c r="F275" s="49" t="s">
        <v>138</v>
      </c>
      <c r="G275" s="42" t="s">
        <v>138</v>
      </c>
      <c r="H275" s="16"/>
      <c r="I275" s="24"/>
      <c r="J275" s="42" t="s">
        <v>138</v>
      </c>
      <c r="K275" s="16"/>
      <c r="L275" s="24"/>
    </row>
    <row r="276" spans="3:12">
      <c r="C276" s="84"/>
      <c r="D276" s="54" t="s">
        <v>752</v>
      </c>
      <c r="E276" s="50" t="s">
        <v>753</v>
      </c>
      <c r="F276" s="49" t="s">
        <v>38</v>
      </c>
      <c r="G276" s="42" t="s">
        <v>38</v>
      </c>
      <c r="H276" s="16"/>
      <c r="I276" s="24"/>
      <c r="J276" s="42" t="s">
        <v>38</v>
      </c>
      <c r="K276" s="16"/>
      <c r="L276" s="24"/>
    </row>
    <row r="277" spans="3:12">
      <c r="C277" s="16"/>
      <c r="D277" s="54" t="s">
        <v>754</v>
      </c>
      <c r="E277" s="50" t="s">
        <v>755</v>
      </c>
      <c r="F277" s="49" t="s">
        <v>275</v>
      </c>
      <c r="G277" s="42" t="s">
        <v>275</v>
      </c>
      <c r="H277" s="16"/>
      <c r="I277" s="24"/>
      <c r="J277" s="42" t="s">
        <v>275</v>
      </c>
      <c r="K277" s="16"/>
      <c r="L277" s="24"/>
    </row>
    <row r="278" spans="3:12">
      <c r="C278" s="16"/>
      <c r="D278" s="54" t="s">
        <v>756</v>
      </c>
      <c r="E278" s="50" t="s">
        <v>757</v>
      </c>
      <c r="F278" s="49" t="s">
        <v>138</v>
      </c>
      <c r="G278" s="42" t="s">
        <v>138</v>
      </c>
      <c r="H278" s="16"/>
      <c r="I278" s="24"/>
      <c r="J278" s="42" t="s">
        <v>138</v>
      </c>
      <c r="K278" s="16"/>
      <c r="L278" s="24"/>
    </row>
    <row r="279" spans="3:12">
      <c r="C279" s="16"/>
      <c r="D279" s="54" t="s">
        <v>758</v>
      </c>
      <c r="E279" s="50" t="s">
        <v>759</v>
      </c>
      <c r="F279" s="49" t="s">
        <v>275</v>
      </c>
      <c r="G279" s="42" t="s">
        <v>275</v>
      </c>
      <c r="H279" s="16"/>
      <c r="I279" s="24"/>
      <c r="J279" s="42" t="s">
        <v>275</v>
      </c>
      <c r="K279" s="16"/>
      <c r="L279" s="24"/>
    </row>
    <row r="280" spans="3:12">
      <c r="C280" s="84"/>
      <c r="D280" s="54" t="s">
        <v>760</v>
      </c>
      <c r="E280" s="50" t="s">
        <v>761</v>
      </c>
      <c r="F280" s="49" t="s">
        <v>138</v>
      </c>
      <c r="G280" s="42" t="s">
        <v>138</v>
      </c>
      <c r="H280" s="16"/>
      <c r="I280" s="24"/>
      <c r="J280" s="42" t="s">
        <v>138</v>
      </c>
      <c r="K280" s="16"/>
      <c r="L280" s="24"/>
    </row>
    <row r="281" spans="3:12">
      <c r="C281" s="84"/>
      <c r="D281" s="54" t="s">
        <v>762</v>
      </c>
      <c r="E281" s="50" t="s">
        <v>763</v>
      </c>
      <c r="F281" s="49" t="s">
        <v>275</v>
      </c>
      <c r="G281" s="42" t="s">
        <v>275</v>
      </c>
      <c r="H281" s="16"/>
      <c r="I281" s="24"/>
      <c r="J281" s="42" t="s">
        <v>275</v>
      </c>
      <c r="K281" s="16"/>
      <c r="L281" s="24"/>
    </row>
    <row r="282" spans="3:12">
      <c r="C282" s="16"/>
      <c r="D282" s="54" t="s">
        <v>764</v>
      </c>
      <c r="E282" s="50" t="s">
        <v>765</v>
      </c>
      <c r="F282" s="49" t="s">
        <v>138</v>
      </c>
      <c r="G282" s="42" t="s">
        <v>138</v>
      </c>
      <c r="H282" s="16"/>
      <c r="I282" s="24"/>
      <c r="J282" s="42" t="s">
        <v>138</v>
      </c>
      <c r="K282" s="16"/>
      <c r="L282" s="24"/>
    </row>
    <row r="283" spans="3:12">
      <c r="C283" s="16"/>
      <c r="D283" s="54" t="s">
        <v>766</v>
      </c>
      <c r="E283" s="50" t="s">
        <v>767</v>
      </c>
      <c r="F283" s="49" t="s">
        <v>275</v>
      </c>
      <c r="G283" s="42" t="s">
        <v>275</v>
      </c>
      <c r="H283" s="16"/>
      <c r="I283" s="24"/>
      <c r="J283" s="42" t="s">
        <v>275</v>
      </c>
      <c r="K283" s="16"/>
      <c r="L283" s="24"/>
    </row>
    <row r="284" spans="3:12">
      <c r="C284" s="16"/>
      <c r="D284" s="54" t="s">
        <v>768</v>
      </c>
      <c r="E284" s="50" t="s">
        <v>769</v>
      </c>
      <c r="F284" s="49" t="s">
        <v>138</v>
      </c>
      <c r="G284" s="42" t="s">
        <v>138</v>
      </c>
      <c r="H284" s="16"/>
      <c r="I284" s="24"/>
      <c r="J284" s="42" t="s">
        <v>138</v>
      </c>
      <c r="K284" s="16"/>
      <c r="L284" s="24"/>
    </row>
    <row r="285" spans="3:12">
      <c r="C285" s="84"/>
      <c r="D285" s="54" t="s">
        <v>770</v>
      </c>
      <c r="E285" s="50" t="s">
        <v>771</v>
      </c>
      <c r="F285" s="49" t="s">
        <v>275</v>
      </c>
      <c r="G285" s="42" t="s">
        <v>275</v>
      </c>
      <c r="H285" s="16"/>
      <c r="I285" s="24"/>
      <c r="J285" s="42" t="s">
        <v>275</v>
      </c>
      <c r="K285" s="16"/>
      <c r="L285" s="24"/>
    </row>
    <row r="286" spans="3:12">
      <c r="C286" s="84"/>
      <c r="D286" s="54" t="s">
        <v>772</v>
      </c>
      <c r="E286" s="50" t="s">
        <v>773</v>
      </c>
      <c r="F286" s="49" t="s">
        <v>138</v>
      </c>
      <c r="G286" s="42" t="s">
        <v>138</v>
      </c>
      <c r="H286" s="16"/>
      <c r="I286" s="24"/>
      <c r="J286" s="42" t="s">
        <v>138</v>
      </c>
      <c r="K286" s="16"/>
      <c r="L286" s="24"/>
    </row>
    <row r="287" spans="3:12">
      <c r="C287" s="16"/>
      <c r="D287" s="54" t="s">
        <v>774</v>
      </c>
      <c r="E287" s="50" t="s">
        <v>775</v>
      </c>
      <c r="F287" s="49" t="s">
        <v>275</v>
      </c>
      <c r="G287" s="42" t="s">
        <v>275</v>
      </c>
      <c r="H287" s="16"/>
      <c r="I287" s="24"/>
      <c r="J287" s="42" t="s">
        <v>275</v>
      </c>
      <c r="K287" s="16"/>
      <c r="L287" s="24"/>
    </row>
    <row r="288" spans="3:12">
      <c r="C288" s="16"/>
      <c r="D288" s="54" t="s">
        <v>776</v>
      </c>
      <c r="E288" s="50" t="s">
        <v>777</v>
      </c>
      <c r="F288" s="49" t="s">
        <v>138</v>
      </c>
      <c r="G288" s="42" t="s">
        <v>138</v>
      </c>
      <c r="H288" s="16"/>
      <c r="I288" s="24"/>
      <c r="J288" s="42" t="s">
        <v>138</v>
      </c>
      <c r="K288" s="16"/>
      <c r="L288" s="24"/>
    </row>
    <row r="289" spans="3:12">
      <c r="C289" s="16"/>
      <c r="D289" s="54" t="s">
        <v>778</v>
      </c>
      <c r="E289" s="50" t="s">
        <v>779</v>
      </c>
      <c r="F289" s="49" t="s">
        <v>275</v>
      </c>
      <c r="G289" s="42" t="s">
        <v>275</v>
      </c>
      <c r="H289" s="16"/>
      <c r="I289" s="24"/>
      <c r="J289" s="42" t="s">
        <v>275</v>
      </c>
      <c r="K289" s="16"/>
      <c r="L289" s="24"/>
    </row>
    <row r="290" spans="3:12">
      <c r="C290" s="84"/>
      <c r="D290" s="54" t="s">
        <v>780</v>
      </c>
      <c r="E290" s="50" t="s">
        <v>781</v>
      </c>
      <c r="F290" s="49" t="s">
        <v>138</v>
      </c>
      <c r="G290" s="42" t="s">
        <v>138</v>
      </c>
      <c r="H290" s="16"/>
      <c r="I290" s="24"/>
      <c r="J290" s="42" t="s">
        <v>138</v>
      </c>
      <c r="K290" s="16"/>
      <c r="L290" s="24"/>
    </row>
    <row r="291" spans="3:12">
      <c r="C291" s="84"/>
      <c r="D291" s="54" t="s">
        <v>782</v>
      </c>
      <c r="E291" s="50" t="s">
        <v>783</v>
      </c>
      <c r="F291" s="49" t="s">
        <v>275</v>
      </c>
      <c r="G291" s="42" t="s">
        <v>275</v>
      </c>
      <c r="H291" s="16"/>
      <c r="I291" s="24"/>
      <c r="J291" s="42" t="s">
        <v>275</v>
      </c>
      <c r="K291" s="16"/>
      <c r="L291" s="24"/>
    </row>
    <row r="292" spans="3:12">
      <c r="C292" s="16"/>
      <c r="D292" s="54" t="s">
        <v>784</v>
      </c>
      <c r="E292" s="50" t="s">
        <v>785</v>
      </c>
      <c r="F292" s="49" t="s">
        <v>138</v>
      </c>
      <c r="G292" s="42" t="s">
        <v>138</v>
      </c>
      <c r="H292" s="16"/>
      <c r="I292" s="24"/>
      <c r="J292" s="42" t="s">
        <v>138</v>
      </c>
      <c r="K292" s="16"/>
      <c r="L292" s="24"/>
    </row>
    <row r="293" spans="3:12">
      <c r="C293" s="16"/>
      <c r="D293" s="54" t="s">
        <v>786</v>
      </c>
      <c r="E293" s="50" t="s">
        <v>69</v>
      </c>
      <c r="F293" s="49" t="s">
        <v>38</v>
      </c>
      <c r="G293" s="42" t="s">
        <v>35</v>
      </c>
      <c r="H293" s="16"/>
      <c r="I293" s="24"/>
      <c r="J293" s="42" t="s">
        <v>35</v>
      </c>
      <c r="K293" s="16"/>
      <c r="L293" s="24"/>
    </row>
    <row r="294" spans="3:12">
      <c r="C294" s="84"/>
      <c r="D294" s="54" t="s">
        <v>787</v>
      </c>
      <c r="E294" s="50" t="s">
        <v>788</v>
      </c>
      <c r="F294" s="49" t="s">
        <v>38</v>
      </c>
      <c r="G294" s="42" t="s">
        <v>35</v>
      </c>
      <c r="H294" s="16"/>
      <c r="I294" s="24"/>
      <c r="J294" s="42" t="s">
        <v>35</v>
      </c>
      <c r="K294" s="16"/>
      <c r="L294" s="24"/>
    </row>
    <row r="295" spans="3:12">
      <c r="C295" s="16"/>
      <c r="D295" s="54" t="s">
        <v>789</v>
      </c>
      <c r="E295" s="50" t="s">
        <v>790</v>
      </c>
      <c r="F295" s="49" t="s">
        <v>38</v>
      </c>
      <c r="G295" s="42" t="s">
        <v>38</v>
      </c>
      <c r="H295" s="16"/>
      <c r="I295" s="24"/>
      <c r="J295" s="42" t="s">
        <v>38</v>
      </c>
      <c r="K295" s="16"/>
      <c r="L295" s="24"/>
    </row>
    <row r="296" spans="3:12">
      <c r="C296" s="16"/>
      <c r="D296" s="54" t="s">
        <v>791</v>
      </c>
      <c r="E296" s="50" t="s">
        <v>792</v>
      </c>
      <c r="F296" s="49" t="s">
        <v>35</v>
      </c>
      <c r="G296" s="42" t="s">
        <v>35</v>
      </c>
      <c r="H296" s="16"/>
      <c r="I296" s="24"/>
      <c r="J296" s="42" t="s">
        <v>35</v>
      </c>
      <c r="K296" s="16"/>
      <c r="L296" s="24"/>
    </row>
    <row r="297" spans="3:12">
      <c r="C297" s="16"/>
      <c r="D297" s="54" t="s">
        <v>793</v>
      </c>
      <c r="E297" s="50" t="s">
        <v>794</v>
      </c>
      <c r="F297" s="49" t="s">
        <v>795</v>
      </c>
      <c r="G297" s="42" t="s">
        <v>275</v>
      </c>
      <c r="H297" s="16"/>
      <c r="I297" s="24"/>
      <c r="J297" s="42" t="s">
        <v>275</v>
      </c>
      <c r="K297" s="16"/>
      <c r="L297" s="24"/>
    </row>
    <row r="298" spans="3:12">
      <c r="C298" s="84"/>
      <c r="D298" s="54" t="s">
        <v>796</v>
      </c>
      <c r="E298" s="50" t="s">
        <v>797</v>
      </c>
      <c r="F298" s="49" t="s">
        <v>38</v>
      </c>
      <c r="G298" s="42" t="s">
        <v>38</v>
      </c>
      <c r="H298" s="16"/>
      <c r="I298" s="24"/>
      <c r="J298" s="42" t="s">
        <v>38</v>
      </c>
      <c r="K298" s="16"/>
      <c r="L298" s="24"/>
    </row>
    <row r="299" spans="3:12">
      <c r="C299" s="84"/>
      <c r="D299" s="54" t="s">
        <v>798</v>
      </c>
      <c r="E299" s="50" t="s">
        <v>799</v>
      </c>
      <c r="F299" s="49" t="s">
        <v>225</v>
      </c>
      <c r="G299" s="42" t="s">
        <v>225</v>
      </c>
      <c r="H299" s="16"/>
      <c r="I299" s="24"/>
      <c r="J299" s="42" t="s">
        <v>225</v>
      </c>
      <c r="K299" s="16"/>
      <c r="L299" s="24"/>
    </row>
    <row r="300" spans="3:12">
      <c r="C300" s="16"/>
      <c r="D300" s="54" t="s">
        <v>800</v>
      </c>
      <c r="E300" s="50" t="s">
        <v>801</v>
      </c>
      <c r="F300" s="49" t="s">
        <v>802</v>
      </c>
      <c r="G300" s="42" t="s">
        <v>20</v>
      </c>
      <c r="H300" s="16"/>
      <c r="I300" s="24"/>
      <c r="J300" s="42" t="s">
        <v>20</v>
      </c>
      <c r="K300" s="16"/>
      <c r="L300" s="24"/>
    </row>
    <row r="301" spans="3:12">
      <c r="C301" s="16"/>
      <c r="D301" s="54" t="s">
        <v>803</v>
      </c>
      <c r="E301" s="50" t="s">
        <v>804</v>
      </c>
      <c r="F301" s="49" t="s">
        <v>35</v>
      </c>
      <c r="G301" s="42" t="s">
        <v>35</v>
      </c>
      <c r="H301" s="16"/>
      <c r="I301" s="24"/>
      <c r="J301" s="42" t="s">
        <v>35</v>
      </c>
      <c r="K301" s="16"/>
      <c r="L301" s="24"/>
    </row>
    <row r="302" spans="3:12">
      <c r="C302" s="16"/>
      <c r="D302" s="54" t="s">
        <v>805</v>
      </c>
      <c r="E302" s="50" t="s">
        <v>806</v>
      </c>
      <c r="F302" s="49" t="s">
        <v>35</v>
      </c>
      <c r="G302" s="42" t="s">
        <v>35</v>
      </c>
      <c r="H302" s="16"/>
      <c r="I302" s="24"/>
      <c r="J302" s="42" t="s">
        <v>35</v>
      </c>
      <c r="K302" s="16"/>
      <c r="L302" s="24"/>
    </row>
    <row r="303" spans="3:12">
      <c r="C303" s="84"/>
      <c r="D303" s="54" t="s">
        <v>807</v>
      </c>
      <c r="E303" s="50" t="s">
        <v>808</v>
      </c>
      <c r="F303" s="49" t="s">
        <v>809</v>
      </c>
      <c r="G303" s="42" t="s">
        <v>809</v>
      </c>
      <c r="H303" s="16"/>
      <c r="I303" s="24"/>
      <c r="J303" s="42" t="s">
        <v>809</v>
      </c>
      <c r="K303" s="16"/>
      <c r="L303" s="24"/>
    </row>
    <row r="304" spans="3:12">
      <c r="C304" s="84"/>
      <c r="D304" s="54" t="s">
        <v>810</v>
      </c>
      <c r="E304" s="50" t="s">
        <v>811</v>
      </c>
      <c r="F304" s="49" t="s">
        <v>38</v>
      </c>
      <c r="G304" s="42" t="s">
        <v>38</v>
      </c>
      <c r="H304" s="16"/>
      <c r="I304" s="24"/>
      <c r="J304" s="42" t="s">
        <v>38</v>
      </c>
      <c r="K304" s="16"/>
      <c r="L304" s="24"/>
    </row>
    <row r="305" spans="3:12">
      <c r="C305" s="16"/>
      <c r="D305" s="54" t="s">
        <v>812</v>
      </c>
      <c r="E305" s="50" t="s">
        <v>813</v>
      </c>
      <c r="F305" s="49" t="s">
        <v>38</v>
      </c>
      <c r="G305" s="42" t="s">
        <v>38</v>
      </c>
      <c r="H305" s="16"/>
      <c r="I305" s="24"/>
      <c r="J305" s="42" t="s">
        <v>38</v>
      </c>
      <c r="K305" s="16"/>
      <c r="L305" s="24"/>
    </row>
    <row r="306" spans="3:12">
      <c r="C306" s="16"/>
      <c r="D306" s="54" t="s">
        <v>814</v>
      </c>
      <c r="E306" s="50" t="s">
        <v>815</v>
      </c>
      <c r="F306" s="49" t="s">
        <v>38</v>
      </c>
      <c r="G306" s="42" t="s">
        <v>38</v>
      </c>
      <c r="H306" s="16"/>
      <c r="I306" s="24"/>
      <c r="J306" s="42" t="s">
        <v>38</v>
      </c>
      <c r="K306" s="16"/>
      <c r="L306" s="24"/>
    </row>
    <row r="307" spans="3:12">
      <c r="C307" s="16"/>
      <c r="D307" s="54" t="s">
        <v>816</v>
      </c>
      <c r="E307" s="50" t="s">
        <v>817</v>
      </c>
      <c r="F307" s="49" t="s">
        <v>161</v>
      </c>
      <c r="G307" s="42" t="s">
        <v>35</v>
      </c>
      <c r="H307" s="16"/>
      <c r="I307" s="24"/>
      <c r="J307" s="42" t="s">
        <v>35</v>
      </c>
      <c r="K307" s="16"/>
      <c r="L307" s="24"/>
    </row>
    <row r="308" spans="3:12">
      <c r="C308" s="84"/>
      <c r="D308" s="54" t="s">
        <v>818</v>
      </c>
      <c r="E308" s="50" t="s">
        <v>819</v>
      </c>
      <c r="F308" s="49" t="s">
        <v>38</v>
      </c>
      <c r="G308" s="42" t="s">
        <v>38</v>
      </c>
      <c r="H308" s="16"/>
      <c r="I308" s="24"/>
      <c r="J308" s="42" t="s">
        <v>38</v>
      </c>
      <c r="K308" s="16"/>
      <c r="L308" s="24"/>
    </row>
    <row r="309" spans="3:12">
      <c r="C309" s="84"/>
      <c r="D309" s="54" t="s">
        <v>820</v>
      </c>
      <c r="E309" s="50" t="s">
        <v>821</v>
      </c>
      <c r="F309" s="49" t="s">
        <v>38</v>
      </c>
      <c r="G309" s="42" t="s">
        <v>38</v>
      </c>
      <c r="H309" s="16"/>
      <c r="I309" s="24"/>
      <c r="J309" s="42" t="s">
        <v>38</v>
      </c>
      <c r="K309" s="16"/>
      <c r="L309" s="24"/>
    </row>
    <row r="310" spans="3:12">
      <c r="C310" s="16"/>
      <c r="D310" s="54" t="s">
        <v>822</v>
      </c>
      <c r="E310" s="50" t="s">
        <v>823</v>
      </c>
      <c r="F310" s="49" t="s">
        <v>38</v>
      </c>
      <c r="G310" s="42" t="s">
        <v>38</v>
      </c>
      <c r="H310" s="16"/>
      <c r="I310" s="24"/>
      <c r="J310" s="42" t="s">
        <v>38</v>
      </c>
      <c r="K310" s="16"/>
      <c r="L310" s="24"/>
    </row>
    <row r="311" spans="3:12">
      <c r="C311" s="16"/>
      <c r="D311" s="54" t="s">
        <v>824</v>
      </c>
      <c r="E311" s="50" t="s">
        <v>825</v>
      </c>
      <c r="F311" s="49" t="s">
        <v>35</v>
      </c>
      <c r="G311" s="42" t="s">
        <v>35</v>
      </c>
      <c r="H311" s="16"/>
      <c r="I311" s="24"/>
      <c r="J311" s="42" t="s">
        <v>35</v>
      </c>
      <c r="K311" s="16"/>
      <c r="L311" s="24"/>
    </row>
    <row r="312" spans="3:12">
      <c r="C312" s="16"/>
      <c r="D312" s="54" t="s">
        <v>826</v>
      </c>
      <c r="E312" s="50" t="s">
        <v>827</v>
      </c>
      <c r="F312" s="49" t="s">
        <v>35</v>
      </c>
      <c r="G312" s="42" t="s">
        <v>38</v>
      </c>
      <c r="H312" s="16"/>
      <c r="I312" s="24"/>
      <c r="J312" s="42" t="s">
        <v>38</v>
      </c>
      <c r="K312" s="16"/>
      <c r="L312" s="24"/>
    </row>
    <row r="313" spans="3:12">
      <c r="C313" s="84"/>
      <c r="D313" s="54" t="s">
        <v>828</v>
      </c>
      <c r="E313" s="50" t="s">
        <v>829</v>
      </c>
      <c r="F313" s="49" t="s">
        <v>830</v>
      </c>
      <c r="G313" s="42" t="s">
        <v>830</v>
      </c>
      <c r="H313" s="16"/>
      <c r="I313" s="24"/>
      <c r="J313" s="42" t="s">
        <v>830</v>
      </c>
      <c r="K313" s="16"/>
      <c r="L313" s="24"/>
    </row>
    <row r="314" spans="3:12">
      <c r="C314" s="84"/>
      <c r="D314" s="54" t="s">
        <v>831</v>
      </c>
      <c r="E314" s="50" t="s">
        <v>832</v>
      </c>
      <c r="F314" s="49" t="s">
        <v>35</v>
      </c>
      <c r="G314" s="42" t="s">
        <v>35</v>
      </c>
      <c r="H314" s="16"/>
      <c r="I314" s="24"/>
      <c r="J314" s="42" t="s">
        <v>35</v>
      </c>
      <c r="K314" s="16"/>
      <c r="L314" s="24"/>
    </row>
    <row r="315" spans="3:12">
      <c r="C315" s="16"/>
      <c r="D315" s="54" t="s">
        <v>833</v>
      </c>
      <c r="E315" s="50" t="s">
        <v>834</v>
      </c>
      <c r="F315" s="49" t="s">
        <v>35</v>
      </c>
      <c r="G315" s="42" t="s">
        <v>35</v>
      </c>
      <c r="H315" s="16"/>
      <c r="I315" s="24"/>
      <c r="J315" s="42" t="s">
        <v>35</v>
      </c>
      <c r="K315" s="16"/>
      <c r="L315" s="24"/>
    </row>
    <row r="316" spans="3:12">
      <c r="C316" s="16"/>
      <c r="D316" s="54" t="s">
        <v>835</v>
      </c>
      <c r="E316" s="50" t="s">
        <v>836</v>
      </c>
      <c r="F316" s="49" t="s">
        <v>35</v>
      </c>
      <c r="G316" s="42" t="s">
        <v>35</v>
      </c>
      <c r="H316" s="16"/>
      <c r="I316" s="24"/>
      <c r="J316" s="42" t="s">
        <v>35</v>
      </c>
      <c r="K316" s="16"/>
      <c r="L316" s="24"/>
    </row>
    <row r="317" spans="3:12">
      <c r="C317" s="16"/>
      <c r="D317" s="54" t="s">
        <v>837</v>
      </c>
      <c r="E317" s="50" t="s">
        <v>838</v>
      </c>
      <c r="F317" s="49" t="s">
        <v>38</v>
      </c>
      <c r="G317" s="42" t="s">
        <v>35</v>
      </c>
      <c r="H317" s="16"/>
      <c r="I317" s="24"/>
      <c r="J317" s="42" t="s">
        <v>35</v>
      </c>
      <c r="K317" s="16"/>
      <c r="L317" s="24"/>
    </row>
    <row r="318" spans="3:12">
      <c r="C318" s="84"/>
      <c r="D318" s="54" t="s">
        <v>839</v>
      </c>
      <c r="E318" s="50" t="s">
        <v>840</v>
      </c>
      <c r="F318" s="49" t="s">
        <v>38</v>
      </c>
      <c r="G318" s="42" t="s">
        <v>802</v>
      </c>
      <c r="H318" s="16"/>
      <c r="I318" s="24"/>
      <c r="J318" s="42" t="s">
        <v>802</v>
      </c>
      <c r="K318" s="16"/>
      <c r="L318" s="24"/>
    </row>
    <row r="319" spans="3:12">
      <c r="C319" s="84"/>
      <c r="D319" s="54" t="s">
        <v>841</v>
      </c>
      <c r="E319" s="50" t="s">
        <v>842</v>
      </c>
      <c r="F319" s="49" t="s">
        <v>38</v>
      </c>
      <c r="G319" s="42" t="s">
        <v>38</v>
      </c>
      <c r="H319" s="16"/>
      <c r="I319" s="24"/>
      <c r="J319" s="42" t="s">
        <v>38</v>
      </c>
      <c r="K319" s="16"/>
      <c r="L319" s="24"/>
    </row>
    <row r="320" spans="3:12">
      <c r="C320" s="16"/>
      <c r="D320" s="54" t="s">
        <v>843</v>
      </c>
      <c r="E320" s="50" t="s">
        <v>844</v>
      </c>
      <c r="F320" s="49" t="s">
        <v>35</v>
      </c>
      <c r="G320" s="42" t="s">
        <v>35</v>
      </c>
      <c r="H320" s="16"/>
      <c r="I320" s="24"/>
      <c r="J320" s="42" t="s">
        <v>35</v>
      </c>
      <c r="K320" s="16"/>
      <c r="L320" s="24"/>
    </row>
    <row r="321" spans="3:12">
      <c r="C321" s="16"/>
      <c r="D321" s="54" t="s">
        <v>845</v>
      </c>
      <c r="E321" s="50" t="s">
        <v>846</v>
      </c>
      <c r="F321" s="49" t="s">
        <v>38</v>
      </c>
      <c r="G321" s="42" t="s">
        <v>220</v>
      </c>
      <c r="H321" s="16"/>
      <c r="I321" s="24"/>
      <c r="J321" s="42" t="s">
        <v>220</v>
      </c>
      <c r="K321" s="16"/>
      <c r="L321" s="24"/>
    </row>
    <row r="322" spans="3:12">
      <c r="C322" s="16"/>
      <c r="D322" s="54" t="s">
        <v>847</v>
      </c>
      <c r="E322" s="50" t="s">
        <v>848</v>
      </c>
      <c r="F322" s="49" t="s">
        <v>38</v>
      </c>
      <c r="G322" s="42" t="s">
        <v>849</v>
      </c>
      <c r="H322" s="16"/>
      <c r="I322" s="24"/>
      <c r="J322" s="42" t="s">
        <v>849</v>
      </c>
      <c r="K322" s="16"/>
      <c r="L322" s="24"/>
    </row>
    <row r="323" spans="3:12">
      <c r="C323" s="16"/>
      <c r="D323" s="54" t="s">
        <v>786</v>
      </c>
      <c r="E323" s="50" t="s">
        <v>69</v>
      </c>
      <c r="F323" s="49" t="s">
        <v>38</v>
      </c>
      <c r="G323" s="42" t="s">
        <v>38</v>
      </c>
      <c r="H323" s="16"/>
      <c r="I323" s="24"/>
      <c r="J323" s="42" t="s">
        <v>38</v>
      </c>
      <c r="K323" s="16"/>
      <c r="L323" s="24"/>
    </row>
    <row r="324" spans="3:12">
      <c r="C324" s="16"/>
      <c r="D324" s="54" t="s">
        <v>850</v>
      </c>
      <c r="E324" s="50" t="s">
        <v>851</v>
      </c>
      <c r="F324" s="49" t="s">
        <v>225</v>
      </c>
      <c r="G324" s="42" t="s">
        <v>275</v>
      </c>
      <c r="H324" s="16"/>
      <c r="I324" s="24"/>
      <c r="J324" s="42" t="s">
        <v>275</v>
      </c>
      <c r="K324" s="16"/>
      <c r="L324" s="24"/>
    </row>
    <row r="325" spans="3:12">
      <c r="C325" s="16"/>
      <c r="D325" s="54" t="s">
        <v>852</v>
      </c>
      <c r="E325" s="50" t="s">
        <v>853</v>
      </c>
      <c r="F325" s="49" t="s">
        <v>38</v>
      </c>
      <c r="G325" s="42" t="s">
        <v>35</v>
      </c>
      <c r="H325" s="16"/>
      <c r="I325" s="24"/>
      <c r="J325" s="42" t="s">
        <v>35</v>
      </c>
      <c r="K325" s="16"/>
      <c r="L325" s="24"/>
    </row>
    <row r="326" spans="3:12">
      <c r="C326" s="84"/>
      <c r="D326" s="54" t="s">
        <v>854</v>
      </c>
      <c r="E326" s="50" t="s">
        <v>855</v>
      </c>
      <c r="F326" s="49" t="s">
        <v>802</v>
      </c>
      <c r="G326" s="42" t="s">
        <v>138</v>
      </c>
      <c r="H326" s="16"/>
      <c r="I326" s="24"/>
      <c r="J326" s="42" t="s">
        <v>138</v>
      </c>
      <c r="K326" s="16"/>
      <c r="L326" s="24"/>
    </row>
    <row r="327" spans="3:12">
      <c r="C327" s="84"/>
      <c r="D327" s="54" t="s">
        <v>856</v>
      </c>
      <c r="E327" s="50" t="s">
        <v>29</v>
      </c>
      <c r="F327" s="49" t="s">
        <v>38</v>
      </c>
      <c r="G327" s="42" t="s">
        <v>30</v>
      </c>
      <c r="H327" s="16"/>
      <c r="I327" s="24"/>
      <c r="J327" s="42" t="s">
        <v>30</v>
      </c>
      <c r="K327" s="16"/>
      <c r="L327" s="24"/>
    </row>
    <row r="328" spans="3:12">
      <c r="C328" s="84"/>
      <c r="D328" s="54" t="s">
        <v>847</v>
      </c>
      <c r="E328" s="50" t="s">
        <v>848</v>
      </c>
      <c r="F328" s="49" t="s">
        <v>38</v>
      </c>
      <c r="G328" s="42" t="s">
        <v>857</v>
      </c>
      <c r="H328" s="16"/>
      <c r="I328" s="24"/>
      <c r="J328" s="42" t="s">
        <v>857</v>
      </c>
      <c r="K328" s="16"/>
      <c r="L328" s="24"/>
    </row>
    <row r="329" spans="3:12">
      <c r="C329" s="16"/>
      <c r="D329" s="54" t="s">
        <v>858</v>
      </c>
      <c r="E329" s="50" t="s">
        <v>859</v>
      </c>
      <c r="F329" s="49" t="s">
        <v>38</v>
      </c>
      <c r="G329" s="42" t="s">
        <v>38</v>
      </c>
      <c r="H329" s="16"/>
      <c r="I329" s="24"/>
      <c r="J329" s="42" t="s">
        <v>38</v>
      </c>
      <c r="K329" s="16"/>
      <c r="L329" s="24"/>
    </row>
    <row r="330" spans="3:12">
      <c r="C330" s="16"/>
      <c r="D330" s="54" t="s">
        <v>860</v>
      </c>
      <c r="E330" s="50" t="s">
        <v>861</v>
      </c>
      <c r="F330" s="49" t="s">
        <v>148</v>
      </c>
      <c r="G330" s="42" t="s">
        <v>264</v>
      </c>
      <c r="H330" s="16"/>
      <c r="I330" s="24"/>
      <c r="J330" s="42" t="s">
        <v>264</v>
      </c>
      <c r="K330" s="16"/>
      <c r="L330" s="24"/>
    </row>
    <row r="331" spans="3:12">
      <c r="C331" s="16"/>
      <c r="D331" s="54" t="s">
        <v>862</v>
      </c>
      <c r="E331" s="50" t="s">
        <v>863</v>
      </c>
      <c r="F331" s="49" t="s">
        <v>161</v>
      </c>
      <c r="G331" s="42" t="s">
        <v>161</v>
      </c>
      <c r="H331" s="16"/>
      <c r="I331" s="24"/>
      <c r="J331" s="42" t="s">
        <v>161</v>
      </c>
      <c r="K331" s="16"/>
      <c r="L331" s="24"/>
    </row>
    <row r="332" spans="3:12">
      <c r="C332" s="84"/>
      <c r="D332" s="54" t="s">
        <v>864</v>
      </c>
      <c r="E332" s="50" t="s">
        <v>865</v>
      </c>
      <c r="F332" s="49" t="s">
        <v>38</v>
      </c>
      <c r="G332" s="42" t="s">
        <v>220</v>
      </c>
      <c r="H332" s="16"/>
      <c r="I332" s="24"/>
      <c r="J332" s="42" t="s">
        <v>35</v>
      </c>
      <c r="K332" s="16"/>
      <c r="L332" s="24"/>
    </row>
    <row r="333" spans="3:12">
      <c r="C333" s="84"/>
      <c r="D333" s="54" t="s">
        <v>866</v>
      </c>
      <c r="E333" s="50" t="s">
        <v>867</v>
      </c>
      <c r="F333" s="49" t="s">
        <v>38</v>
      </c>
      <c r="G333" s="42" t="s">
        <v>35</v>
      </c>
      <c r="H333" s="16"/>
      <c r="I333" s="24"/>
      <c r="J333" s="42" t="s">
        <v>35</v>
      </c>
      <c r="K333" s="16"/>
      <c r="L333" s="24"/>
    </row>
    <row r="334" spans="3:12">
      <c r="C334" s="16"/>
      <c r="D334" s="54" t="s">
        <v>868</v>
      </c>
      <c r="E334" s="50" t="s">
        <v>869</v>
      </c>
      <c r="F334" s="49" t="s">
        <v>38</v>
      </c>
      <c r="G334" s="42" t="s">
        <v>870</v>
      </c>
      <c r="H334" s="16"/>
      <c r="I334" s="24"/>
      <c r="J334" s="42" t="s">
        <v>870</v>
      </c>
      <c r="K334" s="16"/>
      <c r="L334" s="24"/>
    </row>
    <row r="335" spans="3:12">
      <c r="C335" s="16"/>
      <c r="D335" s="54" t="s">
        <v>871</v>
      </c>
      <c r="E335" s="50" t="s">
        <v>872</v>
      </c>
      <c r="F335" s="49" t="s">
        <v>873</v>
      </c>
      <c r="G335" s="42" t="s">
        <v>152</v>
      </c>
      <c r="H335" s="16"/>
      <c r="I335" s="24"/>
      <c r="J335" s="42" t="s">
        <v>152</v>
      </c>
      <c r="K335" s="16"/>
      <c r="L335" s="24"/>
    </row>
    <row r="336" spans="3:12">
      <c r="C336" s="16"/>
      <c r="D336" s="54" t="s">
        <v>874</v>
      </c>
      <c r="E336" s="50" t="s">
        <v>875</v>
      </c>
      <c r="F336" s="49" t="s">
        <v>169</v>
      </c>
      <c r="G336" s="42" t="s">
        <v>876</v>
      </c>
      <c r="H336" s="16"/>
      <c r="I336" s="24"/>
      <c r="J336" s="42" t="s">
        <v>876</v>
      </c>
      <c r="K336" s="16"/>
      <c r="L336" s="24"/>
    </row>
    <row r="337" spans="3:12">
      <c r="C337" s="84"/>
      <c r="D337" s="54" t="s">
        <v>877</v>
      </c>
      <c r="E337" s="50" t="s">
        <v>878</v>
      </c>
      <c r="F337" s="49" t="s">
        <v>879</v>
      </c>
      <c r="G337" s="42" t="s">
        <v>880</v>
      </c>
      <c r="H337" s="16"/>
      <c r="I337" s="24"/>
      <c r="J337" s="42" t="s">
        <v>880</v>
      </c>
      <c r="K337" s="16"/>
      <c r="L337" s="24"/>
    </row>
    <row r="338" spans="3:12">
      <c r="C338" s="84"/>
      <c r="D338" s="54" t="s">
        <v>881</v>
      </c>
      <c r="E338" s="50" t="s">
        <v>882</v>
      </c>
      <c r="F338" s="49" t="s">
        <v>355</v>
      </c>
      <c r="G338" s="42" t="s">
        <v>883</v>
      </c>
      <c r="H338" s="16"/>
      <c r="I338" s="24"/>
      <c r="J338" s="42" t="s">
        <v>883</v>
      </c>
      <c r="K338" s="16"/>
      <c r="L338" s="24"/>
    </row>
    <row r="339" spans="3:12">
      <c r="C339" s="16"/>
      <c r="D339" s="54" t="s">
        <v>884</v>
      </c>
      <c r="E339" s="50" t="s">
        <v>885</v>
      </c>
      <c r="F339" s="49" t="s">
        <v>35</v>
      </c>
      <c r="G339" s="42" t="s">
        <v>35</v>
      </c>
      <c r="H339" s="16"/>
      <c r="I339" s="24"/>
      <c r="J339" s="42" t="s">
        <v>35</v>
      </c>
      <c r="K339" s="16"/>
      <c r="L339" s="24"/>
    </row>
    <row r="340" spans="3:12">
      <c r="C340" s="16"/>
      <c r="D340" s="54" t="s">
        <v>886</v>
      </c>
      <c r="E340" s="50" t="s">
        <v>887</v>
      </c>
      <c r="F340" s="49" t="s">
        <v>888</v>
      </c>
      <c r="G340" s="42" t="s">
        <v>888</v>
      </c>
      <c r="H340" s="16"/>
      <c r="I340" s="24"/>
      <c r="J340" s="42" t="s">
        <v>888</v>
      </c>
      <c r="K340" s="16"/>
      <c r="L340" s="24"/>
    </row>
    <row r="341" spans="3:12">
      <c r="C341" s="16"/>
      <c r="D341" s="54" t="s">
        <v>889</v>
      </c>
      <c r="E341" s="50" t="s">
        <v>890</v>
      </c>
      <c r="F341" s="49" t="s">
        <v>234</v>
      </c>
      <c r="G341" s="42" t="s">
        <v>234</v>
      </c>
      <c r="H341" s="16"/>
      <c r="I341" s="24"/>
      <c r="J341" s="42" t="s">
        <v>234</v>
      </c>
      <c r="K341" s="16"/>
      <c r="L341" s="24"/>
    </row>
    <row r="342" spans="3:12">
      <c r="C342" s="84"/>
      <c r="D342" s="54" t="s">
        <v>891</v>
      </c>
      <c r="E342" s="50" t="s">
        <v>892</v>
      </c>
      <c r="F342" s="49" t="s">
        <v>893</v>
      </c>
      <c r="G342" s="42" t="s">
        <v>135</v>
      </c>
      <c r="H342" s="16"/>
      <c r="I342" s="24"/>
      <c r="J342" s="42" t="s">
        <v>135</v>
      </c>
      <c r="K342" s="16"/>
      <c r="L342" s="24"/>
    </row>
    <row r="343" spans="3:12">
      <c r="C343" s="84"/>
      <c r="D343" s="54" t="s">
        <v>894</v>
      </c>
      <c r="E343" s="50" t="s">
        <v>895</v>
      </c>
      <c r="F343" s="49" t="s">
        <v>17</v>
      </c>
      <c r="G343" s="42" t="s">
        <v>896</v>
      </c>
      <c r="H343" s="16"/>
      <c r="I343" s="24"/>
      <c r="J343" s="42" t="s">
        <v>896</v>
      </c>
      <c r="K343" s="16"/>
      <c r="L343" s="24"/>
    </row>
    <row r="344" spans="3:12">
      <c r="C344" s="16"/>
      <c r="D344" s="54" t="s">
        <v>897</v>
      </c>
      <c r="E344" s="50" t="s">
        <v>898</v>
      </c>
      <c r="F344" s="49" t="s">
        <v>802</v>
      </c>
      <c r="G344" s="42" t="s">
        <v>899</v>
      </c>
      <c r="H344" s="16"/>
      <c r="I344" s="24"/>
      <c r="J344" s="42" t="s">
        <v>899</v>
      </c>
      <c r="K344" s="16"/>
      <c r="L344" s="24"/>
    </row>
    <row r="345" spans="3:12">
      <c r="C345" s="16"/>
      <c r="D345" s="54" t="s">
        <v>900</v>
      </c>
      <c r="E345" s="50" t="s">
        <v>901</v>
      </c>
      <c r="F345" s="49" t="s">
        <v>35</v>
      </c>
      <c r="G345" s="42" t="s">
        <v>220</v>
      </c>
      <c r="H345" s="16"/>
      <c r="I345" s="24"/>
      <c r="J345" s="42" t="s">
        <v>220</v>
      </c>
      <c r="K345" s="16"/>
      <c r="L345" s="24"/>
    </row>
    <row r="346" spans="3:12">
      <c r="C346" s="16"/>
      <c r="D346" s="54" t="s">
        <v>902</v>
      </c>
      <c r="E346" s="50" t="s">
        <v>903</v>
      </c>
      <c r="F346" s="49" t="s">
        <v>896</v>
      </c>
      <c r="G346" s="42" t="s">
        <v>234</v>
      </c>
      <c r="H346" s="16"/>
      <c r="I346" s="24"/>
      <c r="J346" s="42" t="s">
        <v>234</v>
      </c>
      <c r="K346" s="16"/>
      <c r="L346" s="24"/>
    </row>
    <row r="347" spans="3:12">
      <c r="C347" s="84"/>
      <c r="D347" s="54" t="s">
        <v>904</v>
      </c>
      <c r="E347" s="50" t="s">
        <v>905</v>
      </c>
      <c r="F347" s="49" t="s">
        <v>893</v>
      </c>
      <c r="G347" s="42" t="s">
        <v>135</v>
      </c>
      <c r="H347" s="16"/>
      <c r="I347" s="24"/>
      <c r="J347" s="42" t="s">
        <v>135</v>
      </c>
      <c r="K347" s="16"/>
      <c r="L347" s="24"/>
    </row>
    <row r="348" spans="3:12">
      <c r="C348" s="84"/>
      <c r="D348" s="54" t="s">
        <v>906</v>
      </c>
      <c r="E348" s="50" t="s">
        <v>907</v>
      </c>
      <c r="F348" s="49" t="s">
        <v>148</v>
      </c>
      <c r="G348" s="42" t="s">
        <v>156</v>
      </c>
      <c r="H348" s="16"/>
      <c r="I348" s="24"/>
      <c r="J348" s="42" t="s">
        <v>156</v>
      </c>
      <c r="K348" s="16"/>
      <c r="L348" s="24"/>
    </row>
    <row r="349" spans="3:12">
      <c r="C349" s="16"/>
      <c r="D349" s="54" t="s">
        <v>908</v>
      </c>
      <c r="E349" s="50" t="s">
        <v>909</v>
      </c>
      <c r="F349" s="49" t="s">
        <v>893</v>
      </c>
      <c r="G349" s="42" t="s">
        <v>135</v>
      </c>
      <c r="H349" s="16"/>
      <c r="I349" s="24"/>
      <c r="J349" s="42" t="s">
        <v>135</v>
      </c>
      <c r="K349" s="16"/>
      <c r="L349" s="24"/>
    </row>
    <row r="350" spans="3:12">
      <c r="C350" s="16"/>
      <c r="D350" s="54" t="s">
        <v>910</v>
      </c>
      <c r="E350" s="50" t="s">
        <v>911</v>
      </c>
      <c r="F350" s="49" t="s">
        <v>90</v>
      </c>
      <c r="G350" s="42" t="s">
        <v>90</v>
      </c>
      <c r="H350" s="16"/>
      <c r="I350" s="24"/>
      <c r="J350" s="42" t="s">
        <v>90</v>
      </c>
      <c r="K350" s="16"/>
      <c r="L350" s="24"/>
    </row>
    <row r="351" spans="3:12">
      <c r="C351" s="16"/>
      <c r="D351" s="54" t="s">
        <v>912</v>
      </c>
      <c r="E351" s="50" t="s">
        <v>913</v>
      </c>
      <c r="F351" s="49" t="s">
        <v>90</v>
      </c>
      <c r="G351" s="42" t="s">
        <v>90</v>
      </c>
      <c r="H351" s="16"/>
      <c r="I351" s="24"/>
      <c r="J351" s="42" t="s">
        <v>90</v>
      </c>
      <c r="K351" s="16"/>
      <c r="L351" s="24"/>
    </row>
    <row r="352" spans="3:12">
      <c r="C352" s="16"/>
      <c r="D352" s="54" t="s">
        <v>914</v>
      </c>
      <c r="E352" s="50" t="s">
        <v>915</v>
      </c>
      <c r="F352" s="49" t="s">
        <v>90</v>
      </c>
      <c r="G352" s="42" t="s">
        <v>90</v>
      </c>
      <c r="H352" s="16"/>
      <c r="I352" s="24"/>
      <c r="J352" s="42" t="s">
        <v>90</v>
      </c>
      <c r="K352" s="16"/>
      <c r="L352" s="24"/>
    </row>
  </sheetData>
  <conditionalFormatting sqref="J14">
    <cfRule type="expression" dxfId="1" priority="62">
      <formula>MOD(_xleta.ROW,2)=2</formula>
    </cfRule>
    <cfRule type="expression" dxfId="1" priority="61">
      <formula>MOD(_xleta.ROW,2)=0</formula>
    </cfRule>
    <cfRule type="expression" dxfId="1" priority="60">
      <formula>MOD(ROW(),2)=0</formula>
    </cfRule>
  </conditionalFormatting>
  <conditionalFormatting sqref="J17">
    <cfRule type="expression" dxfId="1" priority="48">
      <formula>MOD(_xleta.ROW,2)=0</formula>
    </cfRule>
    <cfRule type="expression" dxfId="1" priority="47">
      <formula>MOD(ROW(),2)=0</formula>
    </cfRule>
  </conditionalFormatting>
  <conditionalFormatting sqref="J19">
    <cfRule type="expression" dxfId="1" priority="159">
      <formula>MOD(_xleta.ROW,2)=0</formula>
    </cfRule>
    <cfRule type="expression" dxfId="1" priority="158">
      <formula>MOD(ROW(),2)=0</formula>
    </cfRule>
  </conditionalFormatting>
  <conditionalFormatting sqref="J20">
    <cfRule type="expression" dxfId="1" priority="36">
      <formula>MOD(_xleta.ROW,2)=0</formula>
    </cfRule>
    <cfRule type="expression" dxfId="1" priority="35">
      <formula>MOD(ROW(),2)=0</formula>
    </cfRule>
  </conditionalFormatting>
  <conditionalFormatting sqref="J21">
    <cfRule type="expression" dxfId="1" priority="10">
      <formula>MOD(_xleta.ROW,2)=0</formula>
    </cfRule>
    <cfRule type="expression" dxfId="1" priority="9">
      <formula>MOD(ROW(),2)=0</formula>
    </cfRule>
  </conditionalFormatting>
  <conditionalFormatting sqref="D31:I31">
    <cfRule type="expression" dxfId="1" priority="130">
      <formula>MOD(ROW(),2)=0</formula>
    </cfRule>
    <cfRule type="expression" dxfId="1" priority="131">
      <formula>MOD(_xleta.ROW,2)=0</formula>
    </cfRule>
  </conditionalFormatting>
  <conditionalFormatting sqref="J31">
    <cfRule type="expression" dxfId="1" priority="2">
      <formula>MOD(_xleta.ROW,2)=0</formula>
    </cfRule>
    <cfRule type="expression" dxfId="1" priority="1">
      <formula>MOD(ROW(),2)=0</formula>
    </cfRule>
  </conditionalFormatting>
  <conditionalFormatting sqref="K31:L31">
    <cfRule type="expression" dxfId="1" priority="128">
      <formula>MOD(ROW(),2)=0</formula>
    </cfRule>
    <cfRule type="expression" dxfId="1" priority="129">
      <formula>MOD(_xleta.ROW,2)=0</formula>
    </cfRule>
  </conditionalFormatting>
  <conditionalFormatting sqref="D32">
    <cfRule type="expression" dxfId="1" priority="28">
      <formula>MOD(_xleta.ROW,2)=0</formula>
    </cfRule>
    <cfRule type="expression" dxfId="1" priority="27">
      <formula>MOD(ROW(),2)=0</formula>
    </cfRule>
  </conditionalFormatting>
  <conditionalFormatting sqref="E32:I32">
    <cfRule type="expression" dxfId="1" priority="30">
      <formula>MOD(_xleta.ROW,2)=0</formula>
    </cfRule>
    <cfRule type="expression" dxfId="1" priority="29">
      <formula>MOD(ROW(),2)=0</formula>
    </cfRule>
  </conditionalFormatting>
  <conditionalFormatting sqref="J32:L32">
    <cfRule type="expression" dxfId="1" priority="31">
      <formula>MOD(ROW(),2)=0</formula>
    </cfRule>
    <cfRule type="expression" dxfId="1" priority="32">
      <formula>MOD(_xleta.ROW,2)=0</formula>
    </cfRule>
  </conditionalFormatting>
  <conditionalFormatting sqref="D33">
    <cfRule type="expression" dxfId="1" priority="582">
      <formula>MOD(ROW(),2)=0</formula>
    </cfRule>
    <cfRule type="expression" dxfId="1" priority="583">
      <formula>MOD(_xleta.ROW,2)=0</formula>
    </cfRule>
  </conditionalFormatting>
  <conditionalFormatting sqref="J43">
    <cfRule type="expression" dxfId="1" priority="6">
      <formula>MOD(_xleta.ROW,2)=0</formula>
    </cfRule>
    <cfRule type="expression" dxfId="1" priority="5">
      <formula>MOD(ROW(),2)=0</formula>
    </cfRule>
  </conditionalFormatting>
  <conditionalFormatting sqref="J65">
    <cfRule type="expression" dxfId="1" priority="156">
      <formula>MOD(ROW(),2)=0</formula>
    </cfRule>
    <cfRule type="expression" dxfId="1" priority="157">
      <formula>MOD(_xleta.ROW,2)=0</formula>
    </cfRule>
  </conditionalFormatting>
  <conditionalFormatting sqref="D166">
    <cfRule type="expression" dxfId="1" priority="566">
      <formula>MOD(ROW(),2)=0</formula>
    </cfRule>
    <cfRule type="expression" dxfId="1" priority="567">
      <formula>MOD(_xleta.ROW,2)=0</formula>
    </cfRule>
  </conditionalFormatting>
  <conditionalFormatting sqref="D167">
    <cfRule type="expression" dxfId="1" priority="564">
      <formula>MOD(ROW(),2)=0</formula>
    </cfRule>
    <cfRule type="expression" dxfId="1" priority="565">
      <formula>MOD(_xleta.ROW,2)=0</formula>
    </cfRule>
  </conditionalFormatting>
  <conditionalFormatting sqref="D183">
    <cfRule type="expression" dxfId="1" priority="562">
      <formula>MOD(ROW(),2)=0</formula>
    </cfRule>
    <cfRule type="expression" dxfId="1" priority="563">
      <formula>MOD(_xleta.ROW,2)=0</formula>
    </cfRule>
  </conditionalFormatting>
  <conditionalFormatting sqref="D184">
    <cfRule type="expression" dxfId="1" priority="560">
      <formula>MOD(ROW(),2)=0</formula>
    </cfRule>
    <cfRule type="expression" dxfId="1" priority="561">
      <formula>MOD(_xleta.ROW,2)=0</formula>
    </cfRule>
  </conditionalFormatting>
  <conditionalFormatting sqref="D185">
    <cfRule type="expression" dxfId="1" priority="552">
      <formula>MOD(ROW(),2)=0</formula>
    </cfRule>
    <cfRule type="expression" dxfId="1" priority="553">
      <formula>MOD(_xleta.ROW,2)=0</formula>
    </cfRule>
  </conditionalFormatting>
  <conditionalFormatting sqref="D190">
    <cfRule type="expression" dxfId="1" priority="446">
      <formula>MOD(ROW(),2)=0</formula>
    </cfRule>
    <cfRule type="expression" dxfId="1" priority="478">
      <formula>MOD(_xleta.ROW,2)=0</formula>
    </cfRule>
  </conditionalFormatting>
  <conditionalFormatting sqref="D195">
    <cfRule type="expression" dxfId="1" priority="445">
      <formula>MOD(ROW(),2)=0</formula>
    </cfRule>
    <cfRule type="expression" dxfId="1" priority="477">
      <formula>MOD(_xleta.ROW,2)=0</formula>
    </cfRule>
  </conditionalFormatting>
  <conditionalFormatting sqref="D200">
    <cfRule type="expression" dxfId="1" priority="444">
      <formula>MOD(ROW(),2)=0</formula>
    </cfRule>
    <cfRule type="expression" dxfId="1" priority="476">
      <formula>MOD(_xleta.ROW,2)=0</formula>
    </cfRule>
  </conditionalFormatting>
  <conditionalFormatting sqref="D205">
    <cfRule type="expression" dxfId="1" priority="443">
      <formula>MOD(ROW(),2)=0</formula>
    </cfRule>
    <cfRule type="expression" dxfId="1" priority="475">
      <formula>MOD(_xleta.ROW,2)=0</formula>
    </cfRule>
  </conditionalFormatting>
  <conditionalFormatting sqref="D210">
    <cfRule type="expression" dxfId="1" priority="442">
      <formula>MOD(ROW(),2)=0</formula>
    </cfRule>
    <cfRule type="expression" dxfId="1" priority="474">
      <formula>MOD(_xleta.ROW,2)=0</formula>
    </cfRule>
  </conditionalFormatting>
  <conditionalFormatting sqref="D215">
    <cfRule type="expression" dxfId="1" priority="441">
      <formula>MOD(ROW(),2)=0</formula>
    </cfRule>
    <cfRule type="expression" dxfId="1" priority="473">
      <formula>MOD(_xleta.ROW,2)=0</formula>
    </cfRule>
  </conditionalFormatting>
  <conditionalFormatting sqref="D220">
    <cfRule type="expression" dxfId="1" priority="440">
      <formula>MOD(ROW(),2)=0</formula>
    </cfRule>
    <cfRule type="expression" dxfId="1" priority="472">
      <formula>MOD(_xleta.ROW,2)=0</formula>
    </cfRule>
  </conditionalFormatting>
  <conditionalFormatting sqref="D225">
    <cfRule type="expression" dxfId="1" priority="439">
      <formula>MOD(ROW(),2)=0</formula>
    </cfRule>
    <cfRule type="expression" dxfId="1" priority="471">
      <formula>MOD(_xleta.ROW,2)=0</formula>
    </cfRule>
  </conditionalFormatting>
  <conditionalFormatting sqref="D230">
    <cfRule type="expression" dxfId="1" priority="438">
      <formula>MOD(ROW(),2)=0</formula>
    </cfRule>
    <cfRule type="expression" dxfId="1" priority="470">
      <formula>MOD(_xleta.ROW,2)=0</formula>
    </cfRule>
  </conditionalFormatting>
  <conditionalFormatting sqref="D235">
    <cfRule type="expression" dxfId="1" priority="437">
      <formula>MOD(ROW(),2)=0</formula>
    </cfRule>
    <cfRule type="expression" dxfId="1" priority="469">
      <formula>MOD(_xleta.ROW,2)=0</formula>
    </cfRule>
  </conditionalFormatting>
  <conditionalFormatting sqref="D240">
    <cfRule type="expression" dxfId="1" priority="436">
      <formula>MOD(ROW(),2)=0</formula>
    </cfRule>
    <cfRule type="expression" dxfId="1" priority="468">
      <formula>MOD(_xleta.ROW,2)=0</formula>
    </cfRule>
  </conditionalFormatting>
  <conditionalFormatting sqref="D245">
    <cfRule type="expression" dxfId="1" priority="435">
      <formula>MOD(ROW(),2)=0</formula>
    </cfRule>
    <cfRule type="expression" dxfId="1" priority="467">
      <formula>MOD(_xleta.ROW,2)=0</formula>
    </cfRule>
  </conditionalFormatting>
  <conditionalFormatting sqref="D250">
    <cfRule type="expression" dxfId="1" priority="434">
      <formula>MOD(ROW(),2)=0</formula>
    </cfRule>
    <cfRule type="expression" dxfId="1" priority="466">
      <formula>MOD(_xleta.ROW,2)=0</formula>
    </cfRule>
  </conditionalFormatting>
  <conditionalFormatting sqref="D255">
    <cfRule type="expression" dxfId="1" priority="433">
      <formula>MOD(ROW(),2)=0</formula>
    </cfRule>
    <cfRule type="expression" dxfId="1" priority="465">
      <formula>MOD(_xleta.ROW,2)=0</formula>
    </cfRule>
  </conditionalFormatting>
  <conditionalFormatting sqref="D260">
    <cfRule type="expression" dxfId="1" priority="432">
      <formula>MOD(ROW(),2)=0</formula>
    </cfRule>
    <cfRule type="expression" dxfId="1" priority="464">
      <formula>MOD(_xleta.ROW,2)=0</formula>
    </cfRule>
  </conditionalFormatting>
  <conditionalFormatting sqref="D265">
    <cfRule type="expression" dxfId="1" priority="431">
      <formula>MOD(ROW(),2)=0</formula>
    </cfRule>
    <cfRule type="expression" dxfId="1" priority="463">
      <formula>MOD(_xleta.ROW,2)=0</formula>
    </cfRule>
  </conditionalFormatting>
  <conditionalFormatting sqref="D270">
    <cfRule type="expression" dxfId="1" priority="430">
      <formula>MOD(ROW(),2)=0</formula>
    </cfRule>
    <cfRule type="expression" dxfId="1" priority="462">
      <formula>MOD(_xleta.ROW,2)=0</formula>
    </cfRule>
  </conditionalFormatting>
  <conditionalFormatting sqref="D275">
    <cfRule type="expression" dxfId="1" priority="429">
      <formula>MOD(ROW(),2)=0</formula>
    </cfRule>
    <cfRule type="expression" dxfId="1" priority="461">
      <formula>MOD(_xleta.ROW,2)=0</formula>
    </cfRule>
  </conditionalFormatting>
  <conditionalFormatting sqref="D280">
    <cfRule type="expression" dxfId="1" priority="428">
      <formula>MOD(ROW(),2)=0</formula>
    </cfRule>
    <cfRule type="expression" dxfId="1" priority="460">
      <formula>MOD(_xleta.ROW,2)=0</formula>
    </cfRule>
  </conditionalFormatting>
  <conditionalFormatting sqref="D285">
    <cfRule type="expression" dxfId="1" priority="427">
      <formula>MOD(ROW(),2)=0</formula>
    </cfRule>
    <cfRule type="expression" dxfId="1" priority="459">
      <formula>MOD(_xleta.ROW,2)=0</formula>
    </cfRule>
  </conditionalFormatting>
  <conditionalFormatting sqref="D290">
    <cfRule type="expression" dxfId="1" priority="426">
      <formula>MOD(ROW(),2)=0</formula>
    </cfRule>
    <cfRule type="expression" dxfId="1" priority="458">
      <formula>MOD(_xleta.ROW,2)=0</formula>
    </cfRule>
  </conditionalFormatting>
  <conditionalFormatting sqref="D298">
    <cfRule type="expression" dxfId="1" priority="424">
      <formula>MOD(ROW(),2)=0</formula>
    </cfRule>
    <cfRule type="expression" dxfId="1" priority="456">
      <formula>MOD(_xleta.ROW,2)=0</formula>
    </cfRule>
  </conditionalFormatting>
  <conditionalFormatting sqref="D303">
    <cfRule type="expression" dxfId="1" priority="423">
      <formula>MOD(ROW(),2)=0</formula>
    </cfRule>
    <cfRule type="expression" dxfId="1" priority="455">
      <formula>MOD(_xleta.ROW,2)=0</formula>
    </cfRule>
  </conditionalFormatting>
  <conditionalFormatting sqref="D308">
    <cfRule type="expression" dxfId="1" priority="422">
      <formula>MOD(ROW(),2)=0</formula>
    </cfRule>
    <cfRule type="expression" dxfId="1" priority="454">
      <formula>MOD(_xleta.ROW,2)=0</formula>
    </cfRule>
  </conditionalFormatting>
  <conditionalFormatting sqref="J312">
    <cfRule type="expression" dxfId="1" priority="132">
      <formula>MOD(ROW(),2)=0</formula>
    </cfRule>
    <cfRule type="expression" dxfId="1" priority="133">
      <formula>MOD(_xleta.ROW,2)=0</formula>
    </cfRule>
  </conditionalFormatting>
  <conditionalFormatting sqref="D313">
    <cfRule type="expression" dxfId="1" priority="421">
      <formula>MOD(ROW(),2)=0</formula>
    </cfRule>
    <cfRule type="expression" dxfId="1" priority="453">
      <formula>MOD(_xleta.ROW,2)=0</formula>
    </cfRule>
  </conditionalFormatting>
  <conditionalFormatting sqref="D318">
    <cfRule type="expression" dxfId="1" priority="420">
      <formula>MOD(ROW(),2)=0</formula>
    </cfRule>
    <cfRule type="expression" dxfId="1" priority="452">
      <formula>MOD(_xleta.ROW,2)=0</formula>
    </cfRule>
  </conditionalFormatting>
  <conditionalFormatting sqref="D323">
    <cfRule type="expression" dxfId="1" priority="140">
      <formula>MOD(ROW(),2)=0</formula>
    </cfRule>
    <cfRule type="expression" dxfId="1" priority="141">
      <formula>MOD(_xleta.ROW,2)=0</formula>
    </cfRule>
  </conditionalFormatting>
  <conditionalFormatting sqref="E323:F323">
    <cfRule type="expression" dxfId="1" priority="142">
      <formula>MOD(ROW(),2)=0</formula>
    </cfRule>
    <cfRule type="expression" dxfId="1" priority="143">
      <formula>MOD(_xleta.ROW,2)=0</formula>
    </cfRule>
  </conditionalFormatting>
  <conditionalFormatting sqref="G323:I323">
    <cfRule type="expression" dxfId="1" priority="138">
      <formula>MOD(ROW(),2)=0</formula>
    </cfRule>
    <cfRule type="expression" dxfId="1" priority="139">
      <formula>MOD(_xleta.ROW,2)=0</formula>
    </cfRule>
  </conditionalFormatting>
  <conditionalFormatting sqref="J323">
    <cfRule type="expression" dxfId="1" priority="124">
      <formula>MOD(ROW(),2)=0</formula>
    </cfRule>
    <cfRule type="expression" dxfId="1" priority="125">
      <formula>MOD(_xleta.ROW,2)=0</formula>
    </cfRule>
  </conditionalFormatting>
  <conditionalFormatting sqref="K323:L323">
    <cfRule type="expression" dxfId="1" priority="144">
      <formula>MOD(ROW(),2)=0</formula>
    </cfRule>
    <cfRule type="expression" dxfId="1" priority="145">
      <formula>MOD(_xleta.ROW,2)=0</formula>
    </cfRule>
  </conditionalFormatting>
  <conditionalFormatting sqref="D324">
    <cfRule type="expression" dxfId="1" priority="150">
      <formula>MOD(ROW(),2)=0</formula>
    </cfRule>
    <cfRule type="expression" dxfId="1" priority="151">
      <formula>MOD(_xleta.ROW,2)=0</formula>
    </cfRule>
  </conditionalFormatting>
  <conditionalFormatting sqref="E324:F324">
    <cfRule type="expression" dxfId="1" priority="152">
      <formula>MOD(ROW(),2)=0</formula>
    </cfRule>
    <cfRule type="expression" dxfId="1" priority="153">
      <formula>MOD(_xleta.ROW,2)=0</formula>
    </cfRule>
  </conditionalFormatting>
  <conditionalFormatting sqref="G324:I324">
    <cfRule type="expression" dxfId="1" priority="148">
      <formula>MOD(ROW(),2)=0</formula>
    </cfRule>
    <cfRule type="expression" dxfId="1" priority="149">
      <formula>MOD(_xleta.ROW,2)=0</formula>
    </cfRule>
  </conditionalFormatting>
  <conditionalFormatting sqref="J324:L324">
    <cfRule type="expression" dxfId="1" priority="146">
      <formula>MOD(ROW(),2)=0</formula>
    </cfRule>
    <cfRule type="expression" dxfId="1" priority="147">
      <formula>MOD(_xleta.ROW,2)=0</formula>
    </cfRule>
  </conditionalFormatting>
  <conditionalFormatting sqref="J325">
    <cfRule type="expression" dxfId="1" priority="21">
      <formula>MOD(ROW(),2)=0</formula>
    </cfRule>
    <cfRule type="expression" dxfId="1" priority="22">
      <formula>MOD(_xleta.ROW,2)=0</formula>
    </cfRule>
  </conditionalFormatting>
  <conditionalFormatting sqref="D326">
    <cfRule type="expression" dxfId="1" priority="419">
      <formula>MOD(ROW(),2)=0</formula>
    </cfRule>
    <cfRule type="expression" dxfId="1" priority="451">
      <formula>MOD(_xleta.ROW,2)=0</formula>
    </cfRule>
  </conditionalFormatting>
  <conditionalFormatting sqref="J327">
    <cfRule type="expression" dxfId="1" priority="154">
      <formula>MOD(ROW(),2)=0</formula>
    </cfRule>
    <cfRule type="expression" dxfId="1" priority="155">
      <formula>MOD(_xleta.ROW,2)=0</formula>
    </cfRule>
  </conditionalFormatting>
  <conditionalFormatting sqref="D328">
    <cfRule type="expression" dxfId="1" priority="15">
      <formula>MOD(ROW(),2)=0</formula>
    </cfRule>
    <cfRule type="expression" dxfId="1" priority="16">
      <formula>MOD(_xleta.ROW,2)=0</formula>
    </cfRule>
  </conditionalFormatting>
  <conditionalFormatting sqref="E328:F328">
    <cfRule type="expression" dxfId="1" priority="17">
      <formula>MOD(ROW(),2)=0</formula>
    </cfRule>
    <cfRule type="expression" dxfId="1" priority="18">
      <formula>MOD(_xleta.ROW,2)=0</formula>
    </cfRule>
  </conditionalFormatting>
  <conditionalFormatting sqref="G328:I328">
    <cfRule type="expression" dxfId="1" priority="13">
      <formula>MOD(ROW(),2)=0</formula>
    </cfRule>
    <cfRule type="expression" dxfId="1" priority="14">
      <formula>MOD(_xleta.ROW,2)=0</formula>
    </cfRule>
  </conditionalFormatting>
  <conditionalFormatting sqref="J328">
    <cfRule type="expression" dxfId="1" priority="11">
      <formula>MOD(ROW(),2)=0</formula>
    </cfRule>
    <cfRule type="expression" dxfId="1" priority="12">
      <formula>MOD(_xleta.ROW,2)=0</formula>
    </cfRule>
  </conditionalFormatting>
  <conditionalFormatting sqref="D330">
    <cfRule type="expression" dxfId="1" priority="167">
      <formula>MOD(ROW(),2)=0</formula>
    </cfRule>
    <cfRule type="expression" dxfId="1" priority="168">
      <formula>MOD(_xleta.ROW,2)=0</formula>
    </cfRule>
  </conditionalFormatting>
  <conditionalFormatting sqref="E330:F330">
    <cfRule type="expression" dxfId="1" priority="169">
      <formula>MOD(ROW(),2)=0</formula>
    </cfRule>
    <cfRule type="expression" dxfId="1" priority="170">
      <formula>MOD(_xleta.ROW,2)=0</formula>
    </cfRule>
  </conditionalFormatting>
  <conditionalFormatting sqref="G330:I330">
    <cfRule type="expression" dxfId="1" priority="165">
      <formula>MOD(ROW(),2)=0</formula>
    </cfRule>
    <cfRule type="expression" dxfId="1" priority="166">
      <formula>MOD(_xleta.ROW,2)=0</formula>
    </cfRule>
  </conditionalFormatting>
  <conditionalFormatting sqref="J330">
    <cfRule type="expression" dxfId="1" priority="163">
      <formula>MOD(ROW(),2)=0</formula>
    </cfRule>
    <cfRule type="expression" dxfId="1" priority="164">
      <formula>MOD(_xleta.ROW,2)=0</formula>
    </cfRule>
  </conditionalFormatting>
  <conditionalFormatting sqref="D332">
    <cfRule type="expression" dxfId="1" priority="418">
      <formula>MOD(ROW(),2)=0</formula>
    </cfRule>
    <cfRule type="expression" dxfId="1" priority="450">
      <formula>MOD(_xleta.ROW,2)=0</formula>
    </cfRule>
  </conditionalFormatting>
  <conditionalFormatting sqref="D337">
    <cfRule type="expression" dxfId="1" priority="417">
      <formula>MOD(ROW(),2)=0</formula>
    </cfRule>
    <cfRule type="expression" dxfId="1" priority="449">
      <formula>MOD(_xleta.ROW,2)=0</formula>
    </cfRule>
  </conditionalFormatting>
  <conditionalFormatting sqref="D342">
    <cfRule type="expression" dxfId="1" priority="416">
      <formula>MOD(ROW(),2)=0</formula>
    </cfRule>
    <cfRule type="expression" dxfId="1" priority="448">
      <formula>MOD(_xleta.ROW,2)=0</formula>
    </cfRule>
  </conditionalFormatting>
  <conditionalFormatting sqref="D347">
    <cfRule type="expression" dxfId="1" priority="415">
      <formula>MOD(ROW(),2)=0</formula>
    </cfRule>
    <cfRule type="expression" dxfId="1" priority="447">
      <formula>MOD(_xleta.ROW,2)=0</formula>
    </cfRule>
  </conditionalFormatting>
  <conditionalFormatting sqref="J349:L349">
    <cfRule type="expression" dxfId="1" priority="273">
      <formula>MOD(ROW(),2)=0</formula>
    </cfRule>
    <cfRule type="expression" dxfId="1" priority="275">
      <formula>MOD(_xleta.ROW,2)=0</formula>
    </cfRule>
  </conditionalFormatting>
  <conditionalFormatting sqref="D352">
    <cfRule type="expression" dxfId="1" priority="278">
      <formula>MOD(ROW(),2)=0</formula>
    </cfRule>
    <cfRule type="expression" dxfId="1" priority="280">
      <formula>MOD(_xleta.ROW,2)=0</formula>
    </cfRule>
  </conditionalFormatting>
  <conditionalFormatting sqref="E352:F352">
    <cfRule type="expression" dxfId="1" priority="284">
      <formula>MOD(ROW(),2)=0</formula>
    </cfRule>
    <cfRule type="expression" dxfId="1" priority="286">
      <formula>MOD(_xleta.ROW,2)=0</formula>
    </cfRule>
  </conditionalFormatting>
  <conditionalFormatting sqref="D34:D56">
    <cfRule type="expression" dxfId="1" priority="580">
      <formula>MOD(ROW(),2)=0</formula>
    </cfRule>
    <cfRule type="expression" dxfId="1" priority="581">
      <formula>MOD(_xleta.ROW,2)=0</formula>
    </cfRule>
  </conditionalFormatting>
  <conditionalFormatting sqref="D57:D76">
    <cfRule type="expression" dxfId="1" priority="578">
      <formula>MOD(ROW(),2)=0</formula>
    </cfRule>
    <cfRule type="expression" dxfId="1" priority="579">
      <formula>MOD(_xleta.ROW,2)=0</formula>
    </cfRule>
  </conditionalFormatting>
  <conditionalFormatting sqref="D77:D112">
    <cfRule type="expression" dxfId="1" priority="576">
      <formula>MOD(ROW(),2)=0</formula>
    </cfRule>
    <cfRule type="expression" dxfId="1" priority="577">
      <formula>MOD(_xleta.ROW,2)=0</formula>
    </cfRule>
  </conditionalFormatting>
  <conditionalFormatting sqref="D113:D140">
    <cfRule type="expression" dxfId="1" priority="574">
      <formula>MOD(ROW(),2)=0</formula>
    </cfRule>
    <cfRule type="expression" dxfId="1" priority="575">
      <formula>MOD(_xleta.ROW,2)=0</formula>
    </cfRule>
  </conditionalFormatting>
  <conditionalFormatting sqref="D141:D148">
    <cfRule type="expression" dxfId="1" priority="572">
      <formula>MOD(ROW(),2)=0</formula>
    </cfRule>
    <cfRule type="expression" dxfId="1" priority="573">
      <formula>MOD(_xleta.ROW,2)=0</formula>
    </cfRule>
  </conditionalFormatting>
  <conditionalFormatting sqref="D149:D150">
    <cfRule type="expression" dxfId="1" priority="570">
      <formula>MOD(ROW(),2)=0</formula>
    </cfRule>
    <cfRule type="expression" dxfId="1" priority="571">
      <formula>MOD(_xleta.ROW,2)=0</formula>
    </cfRule>
  </conditionalFormatting>
  <conditionalFormatting sqref="D151:D152">
    <cfRule type="expression" dxfId="1" priority="546">
      <formula>MOD(ROW(),2)=0</formula>
    </cfRule>
    <cfRule type="expression" dxfId="1" priority="547">
      <formula>MOD(_xleta.ROW,2)=0</formula>
    </cfRule>
  </conditionalFormatting>
  <conditionalFormatting sqref="D153:D165">
    <cfRule type="expression" dxfId="1" priority="568">
      <formula>MOD(ROW(),2)=0</formula>
    </cfRule>
    <cfRule type="expression" dxfId="1" priority="569">
      <formula>MOD(_xleta.ROW,2)=0</formula>
    </cfRule>
  </conditionalFormatting>
  <conditionalFormatting sqref="D186:D189">
    <cfRule type="expression" dxfId="1" priority="548">
      <formula>MOD(ROW(),2)=0</formula>
    </cfRule>
    <cfRule type="expression" dxfId="1" priority="549">
      <formula>MOD(_xleta.ROW,2)=0</formula>
    </cfRule>
  </conditionalFormatting>
  <conditionalFormatting sqref="D191:D194">
    <cfRule type="expression" dxfId="1" priority="382">
      <formula>MOD(ROW(),2)=0</formula>
    </cfRule>
    <cfRule type="expression" dxfId="1" priority="414">
      <formula>MOD(_xleta.ROW,2)=0</formula>
    </cfRule>
  </conditionalFormatting>
  <conditionalFormatting sqref="D196:D199">
    <cfRule type="expression" dxfId="1" priority="381">
      <formula>MOD(ROW(),2)=0</formula>
    </cfRule>
    <cfRule type="expression" dxfId="1" priority="413">
      <formula>MOD(_xleta.ROW,2)=0</formula>
    </cfRule>
  </conditionalFormatting>
  <conditionalFormatting sqref="D201:D204">
    <cfRule type="expression" dxfId="1" priority="380">
      <formula>MOD(ROW(),2)=0</formula>
    </cfRule>
    <cfRule type="expression" dxfId="1" priority="412">
      <formula>MOD(_xleta.ROW,2)=0</formula>
    </cfRule>
  </conditionalFormatting>
  <conditionalFormatting sqref="D206:D209">
    <cfRule type="expression" dxfId="1" priority="379">
      <formula>MOD(ROW(),2)=0</formula>
    </cfRule>
    <cfRule type="expression" dxfId="1" priority="411">
      <formula>MOD(_xleta.ROW,2)=0</formula>
    </cfRule>
  </conditionalFormatting>
  <conditionalFormatting sqref="D211:D214">
    <cfRule type="expression" dxfId="1" priority="378">
      <formula>MOD(ROW(),2)=0</formula>
    </cfRule>
    <cfRule type="expression" dxfId="1" priority="410">
      <formula>MOD(_xleta.ROW,2)=0</formula>
    </cfRule>
  </conditionalFormatting>
  <conditionalFormatting sqref="D216:D219">
    <cfRule type="expression" dxfId="1" priority="377">
      <formula>MOD(ROW(),2)=0</formula>
    </cfRule>
    <cfRule type="expression" dxfId="1" priority="409">
      <formula>MOD(_xleta.ROW,2)=0</formula>
    </cfRule>
  </conditionalFormatting>
  <conditionalFormatting sqref="D221:D224">
    <cfRule type="expression" dxfId="1" priority="376">
      <formula>MOD(ROW(),2)=0</formula>
    </cfRule>
    <cfRule type="expression" dxfId="1" priority="408">
      <formula>MOD(_xleta.ROW,2)=0</formula>
    </cfRule>
  </conditionalFormatting>
  <conditionalFormatting sqref="D226:D229">
    <cfRule type="expression" dxfId="1" priority="375">
      <formula>MOD(ROW(),2)=0</formula>
    </cfRule>
    <cfRule type="expression" dxfId="1" priority="407">
      <formula>MOD(_xleta.ROW,2)=0</formula>
    </cfRule>
  </conditionalFormatting>
  <conditionalFormatting sqref="D231:D234">
    <cfRule type="expression" dxfId="1" priority="374">
      <formula>MOD(ROW(),2)=0</formula>
    </cfRule>
    <cfRule type="expression" dxfId="1" priority="406">
      <formula>MOD(_xleta.ROW,2)=0</formula>
    </cfRule>
  </conditionalFormatting>
  <conditionalFormatting sqref="D236:D239">
    <cfRule type="expression" dxfId="1" priority="373">
      <formula>MOD(ROW(),2)=0</formula>
    </cfRule>
    <cfRule type="expression" dxfId="1" priority="405">
      <formula>MOD(_xleta.ROW,2)=0</formula>
    </cfRule>
  </conditionalFormatting>
  <conditionalFormatting sqref="D241:D244">
    <cfRule type="expression" dxfId="1" priority="372">
      <formula>MOD(ROW(),2)=0</formula>
    </cfRule>
    <cfRule type="expression" dxfId="1" priority="404">
      <formula>MOD(_xleta.ROW,2)=0</formula>
    </cfRule>
  </conditionalFormatting>
  <conditionalFormatting sqref="D246:D249">
    <cfRule type="expression" dxfId="1" priority="371">
      <formula>MOD(ROW(),2)=0</formula>
    </cfRule>
    <cfRule type="expression" dxfId="1" priority="403">
      <formula>MOD(_xleta.ROW,2)=0</formula>
    </cfRule>
  </conditionalFormatting>
  <conditionalFormatting sqref="D251:D254">
    <cfRule type="expression" dxfId="1" priority="370">
      <formula>MOD(ROW(),2)=0</formula>
    </cfRule>
    <cfRule type="expression" dxfId="1" priority="402">
      <formula>MOD(_xleta.ROW,2)=0</formula>
    </cfRule>
  </conditionalFormatting>
  <conditionalFormatting sqref="D256:D259">
    <cfRule type="expression" dxfId="1" priority="369">
      <formula>MOD(ROW(),2)=0</formula>
    </cfRule>
    <cfRule type="expression" dxfId="1" priority="401">
      <formula>MOD(_xleta.ROW,2)=0</formula>
    </cfRule>
  </conditionalFormatting>
  <conditionalFormatting sqref="D261:D264">
    <cfRule type="expression" dxfId="1" priority="368">
      <formula>MOD(ROW(),2)=0</formula>
    </cfRule>
    <cfRule type="expression" dxfId="1" priority="400">
      <formula>MOD(_xleta.ROW,2)=0</formula>
    </cfRule>
  </conditionalFormatting>
  <conditionalFormatting sqref="D266:D269">
    <cfRule type="expression" dxfId="1" priority="367">
      <formula>MOD(ROW(),2)=0</formula>
    </cfRule>
    <cfRule type="expression" dxfId="1" priority="399">
      <formula>MOD(_xleta.ROW,2)=0</formula>
    </cfRule>
  </conditionalFormatting>
  <conditionalFormatting sqref="D271:D274">
    <cfRule type="expression" dxfId="1" priority="366">
      <formula>MOD(ROW(),2)=0</formula>
    </cfRule>
    <cfRule type="expression" dxfId="1" priority="398">
      <formula>MOD(_xleta.ROW,2)=0</formula>
    </cfRule>
  </conditionalFormatting>
  <conditionalFormatting sqref="D276:D279">
    <cfRule type="expression" dxfId="1" priority="365">
      <formula>MOD(ROW(),2)=0</formula>
    </cfRule>
    <cfRule type="expression" dxfId="1" priority="397">
      <formula>MOD(_xleta.ROW,2)=0</formula>
    </cfRule>
  </conditionalFormatting>
  <conditionalFormatting sqref="D281:D284">
    <cfRule type="expression" dxfId="1" priority="364">
      <formula>MOD(ROW(),2)=0</formula>
    </cfRule>
    <cfRule type="expression" dxfId="1" priority="396">
      <formula>MOD(_xleta.ROW,2)=0</formula>
    </cfRule>
  </conditionalFormatting>
  <conditionalFormatting sqref="D286:D289">
    <cfRule type="expression" dxfId="1" priority="363">
      <formula>MOD(ROW(),2)=0</formula>
    </cfRule>
    <cfRule type="expression" dxfId="1" priority="395">
      <formula>MOD(_xleta.ROW,2)=0</formula>
    </cfRule>
  </conditionalFormatting>
  <conditionalFormatting sqref="D291:D293">
    <cfRule type="expression" dxfId="1" priority="362">
      <formula>MOD(ROW(),2)=0</formula>
    </cfRule>
    <cfRule type="expression" dxfId="1" priority="394">
      <formula>MOD(_xleta.ROW,2)=0</formula>
    </cfRule>
  </conditionalFormatting>
  <conditionalFormatting sqref="D294:D297">
    <cfRule type="expression" dxfId="1" priority="361">
      <formula>MOD(ROW(),2)=0</formula>
    </cfRule>
    <cfRule type="expression" dxfId="1" priority="393">
      <formula>MOD(_xleta.ROW,2)=0</formula>
    </cfRule>
  </conditionalFormatting>
  <conditionalFormatting sqref="D299:D302">
    <cfRule type="expression" dxfId="1" priority="360">
      <formula>MOD(ROW(),2)=0</formula>
    </cfRule>
    <cfRule type="expression" dxfId="1" priority="392">
      <formula>MOD(_xleta.ROW,2)=0</formula>
    </cfRule>
  </conditionalFormatting>
  <conditionalFormatting sqref="D304:D307">
    <cfRule type="expression" dxfId="1" priority="359">
      <formula>MOD(ROW(),2)=0</formula>
    </cfRule>
    <cfRule type="expression" dxfId="1" priority="391">
      <formula>MOD(_xleta.ROW,2)=0</formula>
    </cfRule>
  </conditionalFormatting>
  <conditionalFormatting sqref="D309:D312">
    <cfRule type="expression" dxfId="1" priority="358">
      <formula>MOD(ROW(),2)=0</formula>
    </cfRule>
    <cfRule type="expression" dxfId="1" priority="390">
      <formula>MOD(_xleta.ROW,2)=0</formula>
    </cfRule>
  </conditionalFormatting>
  <conditionalFormatting sqref="D314:D317">
    <cfRule type="expression" dxfId="1" priority="357">
      <formula>MOD(ROW(),2)=0</formula>
    </cfRule>
    <cfRule type="expression" dxfId="1" priority="389">
      <formula>MOD(_xleta.ROW,2)=0</formula>
    </cfRule>
  </conditionalFormatting>
  <conditionalFormatting sqref="D333:D336">
    <cfRule type="expression" dxfId="1" priority="354">
      <formula>MOD(ROW(),2)=0</formula>
    </cfRule>
    <cfRule type="expression" dxfId="1" priority="386">
      <formula>MOD(_xleta.ROW,2)=0</formula>
    </cfRule>
  </conditionalFormatting>
  <conditionalFormatting sqref="D338:D341">
    <cfRule type="expression" dxfId="1" priority="353">
      <formula>MOD(ROW(),2)=0</formula>
    </cfRule>
    <cfRule type="expression" dxfId="1" priority="385">
      <formula>MOD(_xleta.ROW,2)=0</formula>
    </cfRule>
  </conditionalFormatting>
  <conditionalFormatting sqref="D343:D346">
    <cfRule type="expression" dxfId="1" priority="352">
      <formula>MOD(ROW(),2)=0</formula>
    </cfRule>
    <cfRule type="expression" dxfId="1" priority="384">
      <formula>MOD(_xleta.ROW,2)=0</formula>
    </cfRule>
  </conditionalFormatting>
  <conditionalFormatting sqref="D348:D351">
    <cfRule type="expression" dxfId="1" priority="351">
      <formula>MOD(ROW(),2)=0</formula>
    </cfRule>
    <cfRule type="expression" dxfId="1" priority="383">
      <formula>MOD(_xleta.ROW,2)=0</formula>
    </cfRule>
  </conditionalFormatting>
  <conditionalFormatting sqref="J45:J46">
    <cfRule type="expression" dxfId="1" priority="4">
      <formula>MOD(_xleta.ROW,2)=0</formula>
    </cfRule>
    <cfRule type="expression" dxfId="1" priority="3">
      <formula>MOD(ROW(),2)=0</formula>
    </cfRule>
  </conditionalFormatting>
  <conditionalFormatting sqref="D13:I14">
    <cfRule type="expression" dxfId="1" priority="610">
      <formula>MOD(_xleta.ROW,2)=2</formula>
    </cfRule>
  </conditionalFormatting>
  <conditionalFormatting sqref="D13:I30 E33:I167 E183:I186 E187:F189 D168:I182">
    <cfRule type="expression" dxfId="1" priority="608">
      <formula>MOD(ROW(),2)=0</formula>
    </cfRule>
    <cfRule type="expression" dxfId="1" priority="609">
      <formula>MOD(_xleta.ROW,2)=0</formula>
    </cfRule>
  </conditionalFormatting>
  <conditionalFormatting sqref="J13:L13 K14:L14">
    <cfRule type="expression" dxfId="1" priority="545">
      <formula>MOD(_xleta.ROW,2)=2</formula>
    </cfRule>
  </conditionalFormatting>
  <conditionalFormatting sqref="J13:L13 K14:L14 J15:L16 K17:L17 J18:L18 K19:L21 J22:L30 J33:L42 K43:L43 J44:L44 K45:L46 J47:L64 K65:L65 J66:L184">
    <cfRule type="expression" dxfId="1" priority="543">
      <formula>MOD(ROW(),2)=0</formula>
    </cfRule>
    <cfRule type="expression" dxfId="1" priority="544">
      <formula>MOD(_xleta.ROW,2)=0</formula>
    </cfRule>
  </conditionalFormatting>
  <conditionalFormatting sqref="J185:L189">
    <cfRule type="expression" dxfId="1" priority="178">
      <formula>MOD(ROW(),2)=0</formula>
    </cfRule>
    <cfRule type="expression" dxfId="1" priority="180">
      <formula>MOD(_xleta.ROW,2)=0</formula>
    </cfRule>
  </conditionalFormatting>
  <conditionalFormatting sqref="G187:I191">
    <cfRule type="expression" dxfId="1" priority="182">
      <formula>MOD(ROW(),2)=0</formula>
    </cfRule>
    <cfRule type="expression" dxfId="1" priority="184">
      <formula>MOD(_xleta.ROW,2)=0</formula>
    </cfRule>
  </conditionalFormatting>
  <conditionalFormatting sqref="E190:F194">
    <cfRule type="expression" dxfId="1" priority="510">
      <formula>MOD(ROW(),2)=0</formula>
    </cfRule>
    <cfRule type="expression" dxfId="1" priority="542">
      <formula>MOD(_xleta.ROW,2)=0</formula>
    </cfRule>
  </conditionalFormatting>
  <conditionalFormatting sqref="J190:L191">
    <cfRule type="expression" dxfId="1" priority="177">
      <formula>MOD(ROW(),2)=0</formula>
    </cfRule>
    <cfRule type="expression" dxfId="1" priority="179">
      <formula>MOD(_xleta.ROW,2)=0</formula>
    </cfRule>
  </conditionalFormatting>
  <conditionalFormatting sqref="G192:I193">
    <cfRule type="expression" dxfId="1" priority="181">
      <formula>MOD(ROW(),2)=0</formula>
    </cfRule>
    <cfRule type="expression" dxfId="1" priority="183">
      <formula>MOD(_xleta.ROW,2)=0</formula>
    </cfRule>
  </conditionalFormatting>
  <conditionalFormatting sqref="J192:L202">
    <cfRule type="expression" dxfId="1" priority="266">
      <formula>MOD(ROW(),2)=0</formula>
    </cfRule>
    <cfRule type="expression" dxfId="1" priority="268">
      <formula>MOD(_xleta.ROW,2)=0</formula>
    </cfRule>
  </conditionalFormatting>
  <conditionalFormatting sqref="G194:I204">
    <cfRule type="expression" dxfId="1" priority="270">
      <formula>MOD(ROW(),2)=0</formula>
    </cfRule>
    <cfRule type="expression" dxfId="1" priority="272">
      <formula>MOD(_xleta.ROW,2)=0</formula>
    </cfRule>
  </conditionalFormatting>
  <conditionalFormatting sqref="E195:F199">
    <cfRule type="expression" dxfId="1" priority="509">
      <formula>MOD(ROW(),2)=0</formula>
    </cfRule>
    <cfRule type="expression" dxfId="1" priority="541">
      <formula>MOD(_xleta.ROW,2)=0</formula>
    </cfRule>
  </conditionalFormatting>
  <conditionalFormatting sqref="E200:F204">
    <cfRule type="expression" dxfId="1" priority="508">
      <formula>MOD(ROW(),2)=0</formula>
    </cfRule>
    <cfRule type="expression" dxfId="1" priority="540">
      <formula>MOD(_xleta.ROW,2)=0</formula>
    </cfRule>
  </conditionalFormatting>
  <conditionalFormatting sqref="J203:L205">
    <cfRule type="expression" dxfId="1" priority="265">
      <formula>MOD(ROW(),2)=0</formula>
    </cfRule>
    <cfRule type="expression" dxfId="1" priority="267">
      <formula>MOD(_xleta.ROW,2)=0</formula>
    </cfRule>
  </conditionalFormatting>
  <conditionalFormatting sqref="E205:F209">
    <cfRule type="expression" dxfId="1" priority="507">
      <formula>MOD(ROW(),2)=0</formula>
    </cfRule>
    <cfRule type="expression" dxfId="1" priority="539">
      <formula>MOD(_xleta.ROW,2)=0</formula>
    </cfRule>
  </conditionalFormatting>
  <conditionalFormatting sqref="G205:I207">
    <cfRule type="expression" dxfId="1" priority="269">
      <formula>MOD(ROW(),2)=0</formula>
    </cfRule>
    <cfRule type="expression" dxfId="1" priority="271">
      <formula>MOD(_xleta.ROW,2)=0</formula>
    </cfRule>
  </conditionalFormatting>
  <conditionalFormatting sqref="J206:L220">
    <cfRule type="expression" dxfId="1" priority="255">
      <formula>MOD(ROW(),2)=0</formula>
    </cfRule>
    <cfRule type="expression" dxfId="1" priority="258">
      <formula>MOD(_xleta.ROW,2)=0</formula>
    </cfRule>
  </conditionalFormatting>
  <conditionalFormatting sqref="G208:I222">
    <cfRule type="expression" dxfId="1" priority="261">
      <formula>MOD(ROW(),2)=0</formula>
    </cfRule>
    <cfRule type="expression" dxfId="1" priority="264">
      <formula>MOD(_xleta.ROW,2)=0</formula>
    </cfRule>
  </conditionalFormatting>
  <conditionalFormatting sqref="E210:F214">
    <cfRule type="expression" dxfId="1" priority="506">
      <formula>MOD(ROW(),2)=0</formula>
    </cfRule>
    <cfRule type="expression" dxfId="1" priority="538">
      <formula>MOD(_xleta.ROW,2)=0</formula>
    </cfRule>
  </conditionalFormatting>
  <conditionalFormatting sqref="E215:F219">
    <cfRule type="expression" dxfId="1" priority="505">
      <formula>MOD(ROW(),2)=0</formula>
    </cfRule>
    <cfRule type="expression" dxfId="1" priority="537">
      <formula>MOD(_xleta.ROW,2)=0</formula>
    </cfRule>
  </conditionalFormatting>
  <conditionalFormatting sqref="E220:F224">
    <cfRule type="expression" dxfId="1" priority="504">
      <formula>MOD(ROW(),2)=0</formula>
    </cfRule>
    <cfRule type="expression" dxfId="1" priority="536">
      <formula>MOD(_xleta.ROW,2)=0</formula>
    </cfRule>
  </conditionalFormatting>
  <conditionalFormatting sqref="J221:L223">
    <cfRule type="expression" dxfId="1" priority="253">
      <formula>MOD(ROW(),2)=0</formula>
    </cfRule>
    <cfRule type="expression" dxfId="1" priority="256">
      <formula>MOD(_xleta.ROW,2)=0</formula>
    </cfRule>
  </conditionalFormatting>
  <conditionalFormatting sqref="G223:I225">
    <cfRule type="expression" dxfId="1" priority="259">
      <formula>MOD(ROW(),2)=0</formula>
    </cfRule>
    <cfRule type="expression" dxfId="1" priority="262">
      <formula>MOD(_xleta.ROW,2)=0</formula>
    </cfRule>
  </conditionalFormatting>
  <conditionalFormatting sqref="J224:L229">
    <cfRule type="expression" dxfId="1" priority="254">
      <formula>MOD(ROW(),2)=0</formula>
    </cfRule>
    <cfRule type="expression" dxfId="1" priority="257">
      <formula>MOD(_xleta.ROW,2)=0</formula>
    </cfRule>
  </conditionalFormatting>
  <conditionalFormatting sqref="E225:F229">
    <cfRule type="expression" dxfId="1" priority="503">
      <formula>MOD(ROW(),2)=0</formula>
    </cfRule>
    <cfRule type="expression" dxfId="1" priority="535">
      <formula>MOD(_xleta.ROW,2)=0</formula>
    </cfRule>
  </conditionalFormatting>
  <conditionalFormatting sqref="G226:I231">
    <cfRule type="expression" dxfId="1" priority="260">
      <formula>MOD(ROW(),2)=0</formula>
    </cfRule>
    <cfRule type="expression" dxfId="1" priority="263">
      <formula>MOD(_xleta.ROW,2)=0</formula>
    </cfRule>
  </conditionalFormatting>
  <conditionalFormatting sqref="E230:F234">
    <cfRule type="expression" dxfId="1" priority="502">
      <formula>MOD(ROW(),2)=0</formula>
    </cfRule>
    <cfRule type="expression" dxfId="1" priority="534">
      <formula>MOD(_xleta.ROW,2)=0</formula>
    </cfRule>
  </conditionalFormatting>
  <conditionalFormatting sqref="J230:L244">
    <cfRule type="expression" dxfId="1" priority="240">
      <formula>MOD(ROW(),2)=0</formula>
    </cfRule>
    <cfRule type="expression" dxfId="1" priority="244">
      <formula>MOD(_xleta.ROW,2)=0</formula>
    </cfRule>
  </conditionalFormatting>
  <conditionalFormatting sqref="G232:I246">
    <cfRule type="expression" dxfId="1" priority="248">
      <formula>MOD(ROW(),2)=0</formula>
    </cfRule>
    <cfRule type="expression" dxfId="1" priority="252">
      <formula>MOD(_xleta.ROW,2)=0</formula>
    </cfRule>
  </conditionalFormatting>
  <conditionalFormatting sqref="E235:F239">
    <cfRule type="expression" dxfId="1" priority="501">
      <formula>MOD(ROW(),2)=0</formula>
    </cfRule>
    <cfRule type="expression" dxfId="1" priority="533">
      <formula>MOD(_xleta.ROW,2)=0</formula>
    </cfRule>
  </conditionalFormatting>
  <conditionalFormatting sqref="E240:F244">
    <cfRule type="expression" dxfId="1" priority="500">
      <formula>MOD(ROW(),2)=0</formula>
    </cfRule>
    <cfRule type="expression" dxfId="1" priority="532">
      <formula>MOD(_xleta.ROW,2)=0</formula>
    </cfRule>
  </conditionalFormatting>
  <conditionalFormatting sqref="E245:F249">
    <cfRule type="expression" dxfId="1" priority="499">
      <formula>MOD(ROW(),2)=0</formula>
    </cfRule>
    <cfRule type="expression" dxfId="1" priority="531">
      <formula>MOD(_xleta.ROW,2)=0</formula>
    </cfRule>
  </conditionalFormatting>
  <conditionalFormatting sqref="J245:L247">
    <cfRule type="expression" dxfId="1" priority="237">
      <formula>MOD(ROW(),2)=0</formula>
    </cfRule>
    <cfRule type="expression" dxfId="1" priority="241">
      <formula>MOD(_xleta.ROW,2)=0</formula>
    </cfRule>
  </conditionalFormatting>
  <conditionalFormatting sqref="G247:I249">
    <cfRule type="expression" dxfId="1" priority="245">
      <formula>MOD(ROW(),2)=0</formula>
    </cfRule>
    <cfRule type="expression" dxfId="1" priority="249">
      <formula>MOD(_xleta.ROW,2)=0</formula>
    </cfRule>
  </conditionalFormatting>
  <conditionalFormatting sqref="J248:L253">
    <cfRule type="expression" dxfId="1" priority="238">
      <formula>MOD(ROW(),2)=0</formula>
    </cfRule>
    <cfRule type="expression" dxfId="1" priority="242">
      <formula>MOD(_xleta.ROW,2)=0</formula>
    </cfRule>
  </conditionalFormatting>
  <conditionalFormatting sqref="E250:F254">
    <cfRule type="expression" dxfId="1" priority="498">
      <formula>MOD(ROW(),2)=0</formula>
    </cfRule>
    <cfRule type="expression" dxfId="1" priority="530">
      <formula>MOD(_xleta.ROW,2)=0</formula>
    </cfRule>
  </conditionalFormatting>
  <conditionalFormatting sqref="G250:I255">
    <cfRule type="expression" dxfId="1" priority="246">
      <formula>MOD(ROW(),2)=0</formula>
    </cfRule>
    <cfRule type="expression" dxfId="1" priority="250">
      <formula>MOD(_xleta.ROW,2)=0</formula>
    </cfRule>
  </conditionalFormatting>
  <conditionalFormatting sqref="J254:L255">
    <cfRule type="expression" dxfId="1" priority="239">
      <formula>MOD(ROW(),2)=0</formula>
    </cfRule>
    <cfRule type="expression" dxfId="1" priority="243">
      <formula>MOD(_xleta.ROW,2)=0</formula>
    </cfRule>
  </conditionalFormatting>
  <conditionalFormatting sqref="E255:F259">
    <cfRule type="expression" dxfId="1" priority="497">
      <formula>MOD(ROW(),2)=0</formula>
    </cfRule>
    <cfRule type="expression" dxfId="1" priority="529">
      <formula>MOD(_xleta.ROW,2)=0</formula>
    </cfRule>
  </conditionalFormatting>
  <conditionalFormatting sqref="G256:I257">
    <cfRule type="expression" dxfId="1" priority="247">
      <formula>MOD(ROW(),2)=0</formula>
    </cfRule>
    <cfRule type="expression" dxfId="1" priority="251">
      <formula>MOD(_xleta.ROW,2)=0</formula>
    </cfRule>
  </conditionalFormatting>
  <conditionalFormatting sqref="J256:L270">
    <cfRule type="expression" dxfId="1" priority="197">
      <formula>MOD(ROW(),2)=0</formula>
    </cfRule>
    <cfRule type="expression" dxfId="1" priority="210">
      <formula>MOD(_xleta.ROW,2)=0</formula>
    </cfRule>
  </conditionalFormatting>
  <conditionalFormatting sqref="G258:I272">
    <cfRule type="expression" dxfId="1" priority="223">
      <formula>MOD(ROW(),2)=0</formula>
    </cfRule>
    <cfRule type="expression" dxfId="1" priority="236">
      <formula>MOD(_xleta.ROW,2)=0</formula>
    </cfRule>
  </conditionalFormatting>
  <conditionalFormatting sqref="E260:F264">
    <cfRule type="expression" dxfId="1" priority="496">
      <formula>MOD(ROW(),2)=0</formula>
    </cfRule>
    <cfRule type="expression" dxfId="1" priority="528">
      <formula>MOD(_xleta.ROW,2)=0</formula>
    </cfRule>
  </conditionalFormatting>
  <conditionalFormatting sqref="E265:F269">
    <cfRule type="expression" dxfId="1" priority="495">
      <formula>MOD(ROW(),2)=0</formula>
    </cfRule>
    <cfRule type="expression" dxfId="1" priority="527">
      <formula>MOD(_xleta.ROW,2)=0</formula>
    </cfRule>
  </conditionalFormatting>
  <conditionalFormatting sqref="E270:F274">
    <cfRule type="expression" dxfId="1" priority="494">
      <formula>MOD(ROW(),2)=0</formula>
    </cfRule>
    <cfRule type="expression" dxfId="1" priority="526">
      <formula>MOD(_xleta.ROW,2)=0</formula>
    </cfRule>
  </conditionalFormatting>
  <conditionalFormatting sqref="J271:L273">
    <cfRule type="expression" dxfId="1" priority="187">
      <formula>MOD(ROW(),2)=0</formula>
    </cfRule>
    <cfRule type="expression" dxfId="1" priority="200">
      <formula>MOD(_xleta.ROW,2)=0</formula>
    </cfRule>
  </conditionalFormatting>
  <conditionalFormatting sqref="G273:I275">
    <cfRule type="expression" dxfId="1" priority="213">
      <formula>MOD(ROW(),2)=0</formula>
    </cfRule>
    <cfRule type="expression" dxfId="1" priority="226">
      <formula>MOD(_xleta.ROW,2)=0</formula>
    </cfRule>
  </conditionalFormatting>
  <conditionalFormatting sqref="J274:L279">
    <cfRule type="expression" dxfId="1" priority="190">
      <formula>MOD(ROW(),2)=0</formula>
    </cfRule>
    <cfRule type="expression" dxfId="1" priority="203">
      <formula>MOD(_xleta.ROW,2)=0</formula>
    </cfRule>
  </conditionalFormatting>
  <conditionalFormatting sqref="E275:F279">
    <cfRule type="expression" dxfId="1" priority="493">
      <formula>MOD(ROW(),2)=0</formula>
    </cfRule>
    <cfRule type="expression" dxfId="1" priority="525">
      <formula>MOD(_xleta.ROW,2)=0</formula>
    </cfRule>
  </conditionalFormatting>
  <conditionalFormatting sqref="G276:I281">
    <cfRule type="expression" dxfId="1" priority="216">
      <formula>MOD(ROW(),2)=0</formula>
    </cfRule>
    <cfRule type="expression" dxfId="1" priority="229">
      <formula>MOD(_xleta.ROW,2)=0</formula>
    </cfRule>
  </conditionalFormatting>
  <conditionalFormatting sqref="E280:F284">
    <cfRule type="expression" dxfId="1" priority="492">
      <formula>MOD(ROW(),2)=0</formula>
    </cfRule>
    <cfRule type="expression" dxfId="1" priority="524">
      <formula>MOD(_xleta.ROW,2)=0</formula>
    </cfRule>
  </conditionalFormatting>
  <conditionalFormatting sqref="J280:L281">
    <cfRule type="expression" dxfId="1" priority="193">
      <formula>MOD(ROW(),2)=0</formula>
    </cfRule>
    <cfRule type="expression" dxfId="1" priority="206">
      <formula>MOD(_xleta.ROW,2)=0</formula>
    </cfRule>
  </conditionalFormatting>
  <conditionalFormatting sqref="G282:I283">
    <cfRule type="expression" dxfId="1" priority="219">
      <formula>MOD(ROW(),2)=0</formula>
    </cfRule>
    <cfRule type="expression" dxfId="1" priority="232">
      <formula>MOD(_xleta.ROW,2)=0</formula>
    </cfRule>
  </conditionalFormatting>
  <conditionalFormatting sqref="J282:L294">
    <cfRule type="expression" dxfId="1" priority="196">
      <formula>MOD(ROW(),2)=0</formula>
    </cfRule>
    <cfRule type="expression" dxfId="1" priority="209">
      <formula>MOD(_xleta.ROW,2)=0</formula>
    </cfRule>
  </conditionalFormatting>
  <conditionalFormatting sqref="G284:I298">
    <cfRule type="expression" dxfId="1" priority="222">
      <formula>MOD(ROW(),2)=0</formula>
    </cfRule>
    <cfRule type="expression" dxfId="1" priority="235">
      <formula>MOD(_xleta.ROW,2)=0</formula>
    </cfRule>
  </conditionalFormatting>
  <conditionalFormatting sqref="E285:F289">
    <cfRule type="expression" dxfId="1" priority="491">
      <formula>MOD(ROW(),2)=0</formula>
    </cfRule>
    <cfRule type="expression" dxfId="1" priority="523">
      <formula>MOD(_xleta.ROW,2)=0</formula>
    </cfRule>
  </conditionalFormatting>
  <conditionalFormatting sqref="E290:F293">
    <cfRule type="expression" dxfId="1" priority="490">
      <formula>MOD(ROW(),2)=0</formula>
    </cfRule>
    <cfRule type="expression" dxfId="1" priority="522">
      <formula>MOD(_xleta.ROW,2)=0</formula>
    </cfRule>
  </conditionalFormatting>
  <conditionalFormatting sqref="E294:F297">
    <cfRule type="expression" dxfId="1" priority="489">
      <formula>MOD(ROW(),2)=0</formula>
    </cfRule>
    <cfRule type="expression" dxfId="1" priority="521">
      <formula>MOD(_xleta.ROW,2)=0</formula>
    </cfRule>
  </conditionalFormatting>
  <conditionalFormatting sqref="J295:L297">
    <cfRule type="expression" dxfId="1" priority="186">
      <formula>MOD(ROW(),2)=0</formula>
    </cfRule>
    <cfRule type="expression" dxfId="1" priority="199">
      <formula>MOD(_xleta.ROW,2)=0</formula>
    </cfRule>
  </conditionalFormatting>
  <conditionalFormatting sqref="E298:F302">
    <cfRule type="expression" dxfId="1" priority="488">
      <formula>MOD(ROW(),2)=0</formula>
    </cfRule>
    <cfRule type="expression" dxfId="1" priority="520">
      <formula>MOD(_xleta.ROW,2)=0</formula>
    </cfRule>
  </conditionalFormatting>
  <conditionalFormatting sqref="J298:L303">
    <cfRule type="expression" dxfId="1" priority="189">
      <formula>MOD(ROW(),2)=0</formula>
    </cfRule>
    <cfRule type="expression" dxfId="1" priority="202">
      <formula>MOD(_xleta.ROW,2)=0</formula>
    </cfRule>
  </conditionalFormatting>
  <conditionalFormatting sqref="G299:I301">
    <cfRule type="expression" dxfId="1" priority="212">
      <formula>MOD(ROW(),2)=0</formula>
    </cfRule>
    <cfRule type="expression" dxfId="1" priority="225">
      <formula>MOD(_xleta.ROW,2)=0</formula>
    </cfRule>
  </conditionalFormatting>
  <conditionalFormatting sqref="G302:I307">
    <cfRule type="expression" dxfId="1" priority="215">
      <formula>MOD(ROW(),2)=0</formula>
    </cfRule>
    <cfRule type="expression" dxfId="1" priority="228">
      <formula>MOD(_xleta.ROW,2)=0</formula>
    </cfRule>
  </conditionalFormatting>
  <conditionalFormatting sqref="E303:F307">
    <cfRule type="expression" dxfId="1" priority="487">
      <formula>MOD(ROW(),2)=0</formula>
    </cfRule>
    <cfRule type="expression" dxfId="1" priority="519">
      <formula>MOD(_xleta.ROW,2)=0</formula>
    </cfRule>
  </conditionalFormatting>
  <conditionalFormatting sqref="J304:L305">
    <cfRule type="expression" dxfId="1" priority="192">
      <formula>MOD(ROW(),2)=0</formula>
    </cfRule>
    <cfRule type="expression" dxfId="1" priority="205">
      <formula>MOD(_xleta.ROW,2)=0</formula>
    </cfRule>
  </conditionalFormatting>
  <conditionalFormatting sqref="J306:L311 K312:L312 J313:L320">
    <cfRule type="expression" dxfId="1" priority="195">
      <formula>MOD(ROW(),2)=0</formula>
    </cfRule>
    <cfRule type="expression" dxfId="1" priority="208">
      <formula>MOD(_xleta.ROW,2)=0</formula>
    </cfRule>
  </conditionalFormatting>
  <conditionalFormatting sqref="E308:F312">
    <cfRule type="expression" dxfId="1" priority="486">
      <formula>MOD(ROW(),2)=0</formula>
    </cfRule>
    <cfRule type="expression" dxfId="1" priority="518">
      <formula>MOD(_xleta.ROW,2)=0</formula>
    </cfRule>
  </conditionalFormatting>
  <conditionalFormatting sqref="G308:I309">
    <cfRule type="expression" dxfId="1" priority="218">
      <formula>MOD(ROW(),2)=0</formula>
    </cfRule>
    <cfRule type="expression" dxfId="1" priority="231">
      <formula>MOD(_xleta.ROW,2)=0</formula>
    </cfRule>
  </conditionalFormatting>
  <conditionalFormatting sqref="G310:I322 G325:I327">
    <cfRule type="expression" dxfId="1" priority="221">
      <formula>MOD(ROW(),2)=0</formula>
    </cfRule>
    <cfRule type="expression" dxfId="1" priority="234">
      <formula>MOD(_xleta.ROW,2)=0</formula>
    </cfRule>
  </conditionalFormatting>
  <conditionalFormatting sqref="E313:F317">
    <cfRule type="expression" dxfId="1" priority="485">
      <formula>MOD(ROW(),2)=0</formula>
    </cfRule>
    <cfRule type="expression" dxfId="1" priority="517">
      <formula>MOD(_xleta.ROW,2)=0</formula>
    </cfRule>
  </conditionalFormatting>
  <conditionalFormatting sqref="E318:F322 E325:F325">
    <cfRule type="expression" dxfId="1" priority="484">
      <formula>MOD(ROW(),2)=0</formula>
    </cfRule>
    <cfRule type="expression" dxfId="1" priority="516">
      <formula>MOD(_xleta.ROW,2)=0</formula>
    </cfRule>
  </conditionalFormatting>
  <conditionalFormatting sqref="D319:D322 D325">
    <cfRule type="expression" dxfId="1" priority="356">
      <formula>MOD(ROW(),2)=0</formula>
    </cfRule>
    <cfRule type="expression" dxfId="1" priority="388">
      <formula>MOD(_xleta.ROW,2)=0</formula>
    </cfRule>
  </conditionalFormatting>
  <conditionalFormatting sqref="J321:L322 K325:L325 J326:L326">
    <cfRule type="expression" dxfId="1" priority="185">
      <formula>MOD(ROW(),2)=0</formula>
    </cfRule>
    <cfRule type="expression" dxfId="1" priority="198">
      <formula>MOD(_xleta.ROW,2)=0</formula>
    </cfRule>
  </conditionalFormatting>
  <conditionalFormatting sqref="E326:F327 E329:F329 E331:F331">
    <cfRule type="expression" dxfId="1" priority="483">
      <formula>MOD(ROW(),2)=0</formula>
    </cfRule>
    <cfRule type="expression" dxfId="1" priority="515">
      <formula>MOD(_xleta.ROW,2)=0</formula>
    </cfRule>
  </conditionalFormatting>
  <conditionalFormatting sqref="D327 D329 D331">
    <cfRule type="expression" dxfId="1" priority="355">
      <formula>MOD(ROW(),2)=0</formula>
    </cfRule>
    <cfRule type="expression" dxfId="1" priority="387">
      <formula>MOD(_xleta.ROW,2)=0</formula>
    </cfRule>
  </conditionalFormatting>
  <conditionalFormatting sqref="K327:L328 J331:L333 J329:L329 K330:L330">
    <cfRule type="expression" dxfId="1" priority="188">
      <formula>MOD(ROW(),2)=0</formula>
    </cfRule>
    <cfRule type="expression" dxfId="1" priority="201">
      <formula>MOD(_xleta.ROW,2)=0</formula>
    </cfRule>
  </conditionalFormatting>
  <conditionalFormatting sqref="G329:I329 G331:I332">
    <cfRule type="expression" dxfId="1" priority="211">
      <formula>MOD(ROW(),2)=0</formula>
    </cfRule>
    <cfRule type="expression" dxfId="1" priority="224">
      <formula>MOD(_xleta.ROW,2)=0</formula>
    </cfRule>
  </conditionalFormatting>
  <conditionalFormatting sqref="E332:F336">
    <cfRule type="expression" dxfId="1" priority="482">
      <formula>MOD(ROW(),2)=0</formula>
    </cfRule>
    <cfRule type="expression" dxfId="1" priority="514">
      <formula>MOD(_xleta.ROW,2)=0</formula>
    </cfRule>
  </conditionalFormatting>
  <conditionalFormatting sqref="G333:I338">
    <cfRule type="expression" dxfId="1" priority="214">
      <formula>MOD(ROW(),2)=0</formula>
    </cfRule>
    <cfRule type="expression" dxfId="1" priority="227">
      <formula>MOD(_xleta.ROW,2)=0</formula>
    </cfRule>
  </conditionalFormatting>
  <conditionalFormatting sqref="J334:L335">
    <cfRule type="expression" dxfId="1" priority="191">
      <formula>MOD(ROW(),2)=0</formula>
    </cfRule>
    <cfRule type="expression" dxfId="1" priority="204">
      <formula>MOD(_xleta.ROW,2)=0</formula>
    </cfRule>
  </conditionalFormatting>
  <conditionalFormatting sqref="J336:L348">
    <cfRule type="expression" dxfId="1" priority="194">
      <formula>MOD(ROW(),2)=0</formula>
    </cfRule>
    <cfRule type="expression" dxfId="1" priority="207">
      <formula>MOD(_xleta.ROW,2)=0</formula>
    </cfRule>
  </conditionalFormatting>
  <conditionalFormatting sqref="E337:F341">
    <cfRule type="expression" dxfId="1" priority="481">
      <formula>MOD(ROW(),2)=0</formula>
    </cfRule>
    <cfRule type="expression" dxfId="1" priority="513">
      <formula>MOD(_xleta.ROW,2)=0</formula>
    </cfRule>
  </conditionalFormatting>
  <conditionalFormatting sqref="G339:I340">
    <cfRule type="expression" dxfId="1" priority="217">
      <formula>MOD(ROW(),2)=0</formula>
    </cfRule>
    <cfRule type="expression" dxfId="1" priority="230">
      <formula>MOD(_xleta.ROW,2)=0</formula>
    </cfRule>
  </conditionalFormatting>
  <conditionalFormatting sqref="G341:I352">
    <cfRule type="expression" dxfId="1" priority="220">
      <formula>MOD(ROW(),2)=0</formula>
    </cfRule>
    <cfRule type="expression" dxfId="1" priority="233">
      <formula>MOD(_xleta.ROW,2)=0</formula>
    </cfRule>
  </conditionalFormatting>
  <conditionalFormatting sqref="E342:F346">
    <cfRule type="expression" dxfId="1" priority="480">
      <formula>MOD(ROW(),2)=0</formula>
    </cfRule>
    <cfRule type="expression" dxfId="1" priority="512">
      <formula>MOD(_xleta.ROW,2)=0</formula>
    </cfRule>
  </conditionalFormatting>
  <conditionalFormatting sqref="E347:F351">
    <cfRule type="expression" dxfId="1" priority="479">
      <formula>MOD(ROW(),2)=0</formula>
    </cfRule>
    <cfRule type="expression" dxfId="1" priority="511">
      <formula>MOD(_xleta.ROW,2)=0</formula>
    </cfRule>
  </conditionalFormatting>
  <conditionalFormatting sqref="J350:L352">
    <cfRule type="expression" dxfId="1" priority="173">
      <formula>MOD(ROW(),2)=0</formula>
    </cfRule>
    <cfRule type="expression" dxfId="1" priority="174">
      <formula>MOD(_xleta.ROW,2)=0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X98"/>
  <sheetViews>
    <sheetView zoomScale="85" zoomScaleNormal="85" topLeftCell="C47" workbookViewId="0">
      <selection activeCell="G41" sqref="G41"/>
    </sheetView>
  </sheetViews>
  <sheetFormatPr defaultColWidth="9" defaultRowHeight="14.5"/>
  <cols>
    <col min="1" max="2" width="21.1333333333333" style="1" customWidth="1"/>
    <col min="3" max="3" width="23.1333333333333" style="1" customWidth="1"/>
    <col min="4" max="4" width="34.5" style="1" customWidth="1"/>
    <col min="5" max="5" width="15.5" style="1" customWidth="1"/>
    <col min="6" max="6" width="16.6333333333333" style="2" customWidth="1"/>
    <col min="7" max="7" width="13.25" style="1" customWidth="1" outlineLevel="7"/>
    <col min="8" max="8" width="11.75" style="1" customWidth="1" outlineLevel="7"/>
    <col min="9" max="9" width="20.1333333333333" style="1" customWidth="1" outlineLevel="7"/>
    <col min="10" max="10" width="11.1333333333333" style="1" customWidth="1" outlineLevel="7"/>
    <col min="11" max="11" width="11.25" style="1" customWidth="1" outlineLevel="7"/>
    <col min="12" max="12" width="19.6333333333333" style="1" customWidth="1" outlineLevel="7"/>
    <col min="13" max="13" width="11.1333333333333" style="1" customWidth="1" outlineLevel="5"/>
    <col min="14" max="14" width="11.25" style="1" customWidth="1" outlineLevel="5"/>
    <col min="15" max="15" width="21.6333333333333" style="1" customWidth="1" outlineLevel="5"/>
    <col min="16" max="16" width="11.1333333333333" style="1" customWidth="1" outlineLevel="4"/>
    <col min="17" max="17" width="11.25" style="1" customWidth="1" outlineLevel="4"/>
    <col min="18" max="18" width="22.1333333333333" style="1" customWidth="1" outlineLevel="4"/>
    <col min="19" max="19" width="11.1333333333333" style="1" customWidth="1" outlineLevel="3"/>
    <col min="20" max="20" width="11.25" style="1" customWidth="1" outlineLevel="3"/>
    <col min="21" max="21" width="21.8833333333333" style="1" customWidth="1" outlineLevel="3"/>
    <col min="22" max="22" width="11.1333333333333" style="1" customWidth="1" outlineLevel="2"/>
    <col min="23" max="23" width="11.25" style="1" customWidth="1" outlineLevel="2"/>
    <col min="24" max="24" width="19.6333333333333" style="1" customWidth="1" outlineLevel="2"/>
    <col min="25" max="16384" width="9" style="1"/>
  </cols>
  <sheetData>
    <row r="3" ht="26.25" customHeight="1" spans="3:24">
      <c r="C3" s="3" t="s">
        <v>2</v>
      </c>
      <c r="D3" s="4" t="s">
        <v>115</v>
      </c>
      <c r="E3" s="4"/>
      <c r="F3" s="4"/>
      <c r="G3" s="4"/>
      <c r="H3" s="4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6.25" customHeight="1" spans="3:24">
      <c r="C4" s="6"/>
      <c r="D4" s="7" t="s">
        <v>116</v>
      </c>
      <c r="E4" s="6"/>
      <c r="F4" s="7"/>
      <c r="G4" s="6"/>
      <c r="H4" s="6"/>
      <c r="I4" s="8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1" customHeight="1" spans="3:24">
      <c r="C5" s="10"/>
      <c r="D5" s="11"/>
      <c r="E5" s="11"/>
      <c r="F5" s="12" t="s">
        <v>117</v>
      </c>
      <c r="G5" s="13" t="s">
        <v>916</v>
      </c>
      <c r="H5" s="13"/>
      <c r="I5" s="61"/>
      <c r="J5" s="13" t="s">
        <v>917</v>
      </c>
      <c r="K5" s="13"/>
      <c r="L5" s="61"/>
      <c r="M5" s="13" t="s">
        <v>918</v>
      </c>
      <c r="N5" s="13"/>
      <c r="O5" s="61"/>
      <c r="P5" s="13" t="s">
        <v>919</v>
      </c>
      <c r="Q5" s="13"/>
      <c r="R5" s="61"/>
      <c r="S5" s="13" t="s">
        <v>920</v>
      </c>
      <c r="T5" s="13"/>
      <c r="U5" s="61"/>
      <c r="V5" s="13" t="s">
        <v>921</v>
      </c>
      <c r="W5" s="13"/>
      <c r="X5" s="61"/>
    </row>
    <row r="6" ht="18" customHeight="1" spans="3:24">
      <c r="C6" s="16"/>
      <c r="D6" s="16"/>
      <c r="E6" s="16"/>
      <c r="F6" s="25" t="s">
        <v>922</v>
      </c>
      <c r="G6" s="26" t="s">
        <v>923</v>
      </c>
      <c r="H6" s="116" t="s">
        <v>924</v>
      </c>
      <c r="I6" s="28"/>
      <c r="J6" s="26" t="s">
        <v>925</v>
      </c>
      <c r="K6" s="116" t="s">
        <v>924</v>
      </c>
      <c r="L6" s="28"/>
      <c r="M6" s="26" t="s">
        <v>926</v>
      </c>
      <c r="N6" s="116" t="s">
        <v>924</v>
      </c>
      <c r="O6" s="28"/>
      <c r="P6" s="26" t="s">
        <v>926</v>
      </c>
      <c r="Q6" s="116" t="s">
        <v>924</v>
      </c>
      <c r="R6" s="28"/>
      <c r="S6" s="26" t="s">
        <v>927</v>
      </c>
      <c r="T6" s="116" t="s">
        <v>924</v>
      </c>
      <c r="U6" s="28"/>
      <c r="V6" s="26" t="s">
        <v>928</v>
      </c>
      <c r="W6" s="116" t="s">
        <v>924</v>
      </c>
      <c r="X6" s="28"/>
    </row>
    <row r="7" ht="18" customHeight="1" spans="3:24">
      <c r="C7" s="16"/>
      <c r="D7" s="16"/>
      <c r="E7" s="16"/>
      <c r="F7" s="25" t="s">
        <v>929</v>
      </c>
      <c r="G7" s="26">
        <v>30</v>
      </c>
      <c r="H7" s="27" t="s">
        <v>930</v>
      </c>
      <c r="I7" s="28"/>
      <c r="J7" s="26">
        <v>30</v>
      </c>
      <c r="K7" s="27" t="s">
        <v>930</v>
      </c>
      <c r="L7" s="28"/>
      <c r="M7" s="26">
        <v>60</v>
      </c>
      <c r="N7" s="27" t="s">
        <v>930</v>
      </c>
      <c r="O7" s="28"/>
      <c r="P7" s="26">
        <v>60</v>
      </c>
      <c r="Q7" s="27" t="s">
        <v>930</v>
      </c>
      <c r="R7" s="28"/>
      <c r="S7" s="26">
        <v>89.99</v>
      </c>
      <c r="T7" s="27" t="s">
        <v>930</v>
      </c>
      <c r="U7" s="28"/>
      <c r="V7" s="26">
        <v>60</v>
      </c>
      <c r="W7" s="27" t="s">
        <v>930</v>
      </c>
      <c r="X7" s="28"/>
    </row>
    <row r="8" ht="18" customHeight="1" spans="3:24">
      <c r="C8" s="16"/>
      <c r="D8" s="16"/>
      <c r="E8" s="16"/>
      <c r="F8" s="25" t="s">
        <v>931</v>
      </c>
      <c r="G8" s="58" t="s">
        <v>932</v>
      </c>
      <c r="H8" s="27">
        <v>10</v>
      </c>
      <c r="I8" s="28"/>
      <c r="J8" s="58" t="s">
        <v>932</v>
      </c>
      <c r="K8" s="27">
        <v>10</v>
      </c>
      <c r="L8" s="28"/>
      <c r="M8" s="58" t="s">
        <v>932</v>
      </c>
      <c r="N8" s="27">
        <v>10</v>
      </c>
      <c r="O8" s="28"/>
      <c r="P8" s="58" t="s">
        <v>932</v>
      </c>
      <c r="Q8" s="27">
        <v>10</v>
      </c>
      <c r="R8" s="28"/>
      <c r="S8" s="58" t="s">
        <v>932</v>
      </c>
      <c r="T8" s="27">
        <v>10</v>
      </c>
      <c r="U8" s="28"/>
      <c r="V8" s="58" t="s">
        <v>932</v>
      </c>
      <c r="W8" s="27">
        <v>10</v>
      </c>
      <c r="X8" s="28"/>
    </row>
    <row r="9" ht="18" customHeight="1" spans="3:24">
      <c r="C9" s="16"/>
      <c r="D9" s="16"/>
      <c r="E9" s="16"/>
      <c r="F9" s="25" t="s">
        <v>933</v>
      </c>
      <c r="G9" s="26">
        <v>2030</v>
      </c>
      <c r="H9" s="27"/>
      <c r="I9" s="28"/>
      <c r="J9" s="26">
        <v>2030</v>
      </c>
      <c r="K9" s="27"/>
      <c r="L9" s="28"/>
      <c r="M9" s="26">
        <v>1000</v>
      </c>
      <c r="N9" s="27"/>
      <c r="O9" s="28"/>
      <c r="P9" s="26">
        <v>1000</v>
      </c>
      <c r="Q9" s="27"/>
      <c r="R9" s="28"/>
      <c r="S9" s="26">
        <v>674</v>
      </c>
      <c r="T9" s="27"/>
      <c r="U9" s="28"/>
      <c r="V9" s="26">
        <v>1000</v>
      </c>
      <c r="W9" s="27"/>
      <c r="X9" s="28"/>
    </row>
    <row r="10" ht="18" customHeight="1" spans="3:24">
      <c r="C10" s="16"/>
      <c r="D10" s="16"/>
      <c r="E10" s="16"/>
      <c r="F10" s="25" t="s">
        <v>934</v>
      </c>
      <c r="G10" s="26">
        <v>1458</v>
      </c>
      <c r="H10" s="27"/>
      <c r="I10" s="28"/>
      <c r="J10" s="26">
        <v>1458</v>
      </c>
      <c r="K10" s="27"/>
      <c r="L10" s="28"/>
      <c r="M10" s="26">
        <v>1480</v>
      </c>
      <c r="N10" s="27"/>
      <c r="O10" s="28"/>
      <c r="P10" s="26">
        <v>1480</v>
      </c>
      <c r="Q10" s="27"/>
      <c r="R10" s="28"/>
      <c r="S10" s="26">
        <v>1464</v>
      </c>
      <c r="T10" s="27"/>
      <c r="U10" s="28"/>
      <c r="V10" s="26">
        <v>1480</v>
      </c>
      <c r="W10" s="27"/>
      <c r="X10" s="28"/>
    </row>
    <row r="11" ht="18" customHeight="1" spans="3:24">
      <c r="C11" s="16"/>
      <c r="D11" s="16"/>
      <c r="E11" s="16"/>
      <c r="F11" s="25" t="s">
        <v>935</v>
      </c>
      <c r="G11" s="26">
        <v>2</v>
      </c>
      <c r="H11" s="27" t="s">
        <v>936</v>
      </c>
      <c r="I11" s="28"/>
      <c r="J11" s="26">
        <v>2</v>
      </c>
      <c r="K11" s="27" t="s">
        <v>936</v>
      </c>
      <c r="L11" s="28"/>
      <c r="M11" s="26">
        <v>2</v>
      </c>
      <c r="N11" s="27" t="s">
        <v>936</v>
      </c>
      <c r="O11" s="28"/>
      <c r="P11" s="26">
        <v>2</v>
      </c>
      <c r="Q11" s="27" t="s">
        <v>936</v>
      </c>
      <c r="R11" s="28"/>
      <c r="S11" s="26">
        <v>2</v>
      </c>
      <c r="T11" s="27" t="s">
        <v>936</v>
      </c>
      <c r="U11" s="28"/>
      <c r="V11" s="26">
        <v>2</v>
      </c>
      <c r="W11" s="27" t="s">
        <v>936</v>
      </c>
      <c r="X11" s="28"/>
    </row>
    <row r="12" ht="18" customHeight="1" spans="3:24">
      <c r="C12" s="16"/>
      <c r="D12" s="16"/>
      <c r="E12" s="16"/>
      <c r="F12" s="25" t="s">
        <v>937</v>
      </c>
      <c r="G12" s="26">
        <v>6</v>
      </c>
      <c r="H12" s="27" t="s">
        <v>936</v>
      </c>
      <c r="I12" s="28"/>
      <c r="J12" s="26">
        <v>6</v>
      </c>
      <c r="K12" s="27" t="s">
        <v>936</v>
      </c>
      <c r="L12" s="28"/>
      <c r="M12" s="26">
        <v>6</v>
      </c>
      <c r="N12" s="27" t="s">
        <v>936</v>
      </c>
      <c r="O12" s="28"/>
      <c r="P12" s="26">
        <v>6</v>
      </c>
      <c r="Q12" s="27" t="s">
        <v>936</v>
      </c>
      <c r="R12" s="28"/>
      <c r="S12" s="26">
        <v>6</v>
      </c>
      <c r="T12" s="27" t="s">
        <v>936</v>
      </c>
      <c r="U12" s="28"/>
      <c r="V12" s="26">
        <v>6</v>
      </c>
      <c r="W12" s="27" t="s">
        <v>936</v>
      </c>
      <c r="X12" s="28"/>
    </row>
    <row r="13" ht="18" customHeight="1" spans="3:24">
      <c r="C13" s="16"/>
      <c r="D13" s="16"/>
      <c r="E13" s="16"/>
      <c r="F13" s="25" t="s">
        <v>938</v>
      </c>
      <c r="G13" s="26">
        <v>1.125</v>
      </c>
      <c r="H13" s="59" t="s">
        <v>939</v>
      </c>
      <c r="I13" s="28"/>
      <c r="J13" s="26">
        <v>1.125</v>
      </c>
      <c r="K13" s="59" t="s">
        <v>939</v>
      </c>
      <c r="L13" s="28"/>
      <c r="M13" s="26">
        <v>1.125</v>
      </c>
      <c r="N13" s="59" t="s">
        <v>939</v>
      </c>
      <c r="O13" s="28"/>
      <c r="P13" s="26">
        <v>1.125</v>
      </c>
      <c r="Q13" s="59" t="s">
        <v>939</v>
      </c>
      <c r="R13" s="28"/>
      <c r="S13" s="26">
        <v>1.125</v>
      </c>
      <c r="T13" s="59" t="s">
        <v>939</v>
      </c>
      <c r="U13" s="28"/>
      <c r="V13" s="26">
        <v>1.125</v>
      </c>
      <c r="W13" s="59" t="s">
        <v>939</v>
      </c>
      <c r="X13" s="28"/>
    </row>
    <row r="14" ht="18" customHeight="1" spans="3:24">
      <c r="C14" s="16"/>
      <c r="D14" s="16"/>
      <c r="E14" s="16"/>
      <c r="F14" s="25" t="s">
        <v>940</v>
      </c>
      <c r="G14" s="26">
        <v>16</v>
      </c>
      <c r="H14" s="59" t="s">
        <v>939</v>
      </c>
      <c r="I14" s="28"/>
      <c r="J14" s="26">
        <v>16</v>
      </c>
      <c r="K14" s="59" t="s">
        <v>939</v>
      </c>
      <c r="L14" s="28"/>
      <c r="M14" s="26">
        <v>16</v>
      </c>
      <c r="N14" s="59" t="s">
        <v>939</v>
      </c>
      <c r="O14" s="28"/>
      <c r="P14" s="26">
        <v>16</v>
      </c>
      <c r="Q14" s="59" t="s">
        <v>939</v>
      </c>
      <c r="R14" s="28"/>
      <c r="S14" s="26">
        <v>16</v>
      </c>
      <c r="T14" s="59" t="s">
        <v>939</v>
      </c>
      <c r="U14" s="28"/>
      <c r="V14" s="26">
        <v>16</v>
      </c>
      <c r="W14" s="59" t="s">
        <v>939</v>
      </c>
      <c r="X14" s="28"/>
    </row>
    <row r="15" ht="18" customHeight="1" spans="3:24">
      <c r="C15" s="16"/>
      <c r="D15" s="16"/>
      <c r="E15" s="16"/>
      <c r="F15" s="25" t="s">
        <v>941</v>
      </c>
      <c r="G15" s="26">
        <v>1</v>
      </c>
      <c r="H15" s="59" t="s">
        <v>939</v>
      </c>
      <c r="I15" s="28"/>
      <c r="J15" s="26">
        <v>1</v>
      </c>
      <c r="K15" s="59" t="s">
        <v>939</v>
      </c>
      <c r="L15" s="28"/>
      <c r="M15" s="26">
        <v>1</v>
      </c>
      <c r="N15" s="59" t="s">
        <v>939</v>
      </c>
      <c r="O15" s="28"/>
      <c r="P15" s="26">
        <v>1</v>
      </c>
      <c r="Q15" s="59" t="s">
        <v>939</v>
      </c>
      <c r="R15" s="28"/>
      <c r="S15" s="26">
        <v>1</v>
      </c>
      <c r="T15" s="59" t="s">
        <v>939</v>
      </c>
      <c r="U15" s="28"/>
      <c r="V15" s="26">
        <v>1</v>
      </c>
      <c r="W15" s="59" t="s">
        <v>939</v>
      </c>
      <c r="X15" s="28"/>
    </row>
    <row r="16" ht="18" customHeight="1" spans="3:24">
      <c r="C16" s="16"/>
      <c r="D16" s="16"/>
      <c r="E16" s="16"/>
      <c r="F16" s="25" t="s">
        <v>942</v>
      </c>
      <c r="G16" s="26">
        <v>2</v>
      </c>
      <c r="H16" s="27" t="s">
        <v>943</v>
      </c>
      <c r="I16" s="28"/>
      <c r="J16" s="26">
        <v>2</v>
      </c>
      <c r="K16" s="27" t="s">
        <v>943</v>
      </c>
      <c r="L16" s="28"/>
      <c r="M16" s="26">
        <v>2</v>
      </c>
      <c r="N16" s="27" t="s">
        <v>943</v>
      </c>
      <c r="O16" s="28"/>
      <c r="P16" s="26">
        <v>2</v>
      </c>
      <c r="Q16" s="27" t="s">
        <v>943</v>
      </c>
      <c r="R16" s="28"/>
      <c r="S16" s="26">
        <v>2</v>
      </c>
      <c r="T16" s="27" t="s">
        <v>943</v>
      </c>
      <c r="U16" s="28"/>
      <c r="V16" s="26">
        <v>2</v>
      </c>
      <c r="W16" s="27" t="s">
        <v>943</v>
      </c>
      <c r="X16" s="28"/>
    </row>
    <row r="17" ht="18" customHeight="1" spans="3:24">
      <c r="C17" s="16"/>
      <c r="D17" s="16"/>
      <c r="E17" s="16"/>
      <c r="F17" s="25"/>
      <c r="G17" s="26"/>
      <c r="H17" s="27"/>
      <c r="I17" s="28"/>
      <c r="J17" s="26"/>
      <c r="K17" s="27"/>
      <c r="L17" s="28"/>
      <c r="M17" s="26"/>
      <c r="N17" s="27"/>
      <c r="O17" s="28"/>
      <c r="P17" s="26"/>
      <c r="Q17" s="27"/>
      <c r="R17" s="28"/>
      <c r="S17" s="26"/>
      <c r="T17" s="27"/>
      <c r="U17" s="28"/>
      <c r="V17" s="26"/>
      <c r="W17" s="27"/>
      <c r="X17" s="28"/>
    </row>
    <row r="18" ht="18" customHeight="1" spans="3:24">
      <c r="C18" s="16"/>
      <c r="D18" s="16"/>
      <c r="E18" s="16"/>
      <c r="F18" s="25"/>
      <c r="G18" s="26"/>
      <c r="H18" s="27"/>
      <c r="I18" s="28"/>
      <c r="J18" s="60"/>
      <c r="K18" s="27"/>
      <c r="L18" s="28"/>
      <c r="M18" s="26"/>
      <c r="N18" s="27"/>
      <c r="O18" s="28"/>
      <c r="P18" s="26"/>
      <c r="Q18" s="27"/>
      <c r="R18" s="28"/>
      <c r="S18" s="26"/>
      <c r="T18" s="27"/>
      <c r="U18" s="28"/>
      <c r="V18" s="60"/>
      <c r="W18" s="60"/>
      <c r="X18" s="28"/>
    </row>
    <row r="19" ht="23.25" customHeight="1" spans="3:24">
      <c r="C19" s="29" t="s">
        <v>125</v>
      </c>
      <c r="D19" s="30" t="s">
        <v>126</v>
      </c>
      <c r="E19" s="30" t="s">
        <v>127</v>
      </c>
      <c r="F19" s="30" t="s">
        <v>128</v>
      </c>
      <c r="G19" s="31" t="s">
        <v>129</v>
      </c>
      <c r="H19" s="30" t="s">
        <v>130</v>
      </c>
      <c r="I19" s="32" t="s">
        <v>131</v>
      </c>
      <c r="J19" s="30" t="s">
        <v>129</v>
      </c>
      <c r="K19" s="30" t="s">
        <v>130</v>
      </c>
      <c r="L19" s="32" t="s">
        <v>131</v>
      </c>
      <c r="M19" s="30" t="s">
        <v>129</v>
      </c>
      <c r="N19" s="30" t="s">
        <v>130</v>
      </c>
      <c r="O19" s="32" t="s">
        <v>131</v>
      </c>
      <c r="P19" s="30" t="s">
        <v>129</v>
      </c>
      <c r="Q19" s="30" t="s">
        <v>130</v>
      </c>
      <c r="R19" s="32" t="s">
        <v>131</v>
      </c>
      <c r="S19" s="30" t="s">
        <v>129</v>
      </c>
      <c r="T19" s="30" t="s">
        <v>130</v>
      </c>
      <c r="U19" s="32" t="s">
        <v>131</v>
      </c>
      <c r="V19" s="30" t="s">
        <v>129</v>
      </c>
      <c r="W19" s="30" t="s">
        <v>130</v>
      </c>
      <c r="X19" s="32" t="s">
        <v>131</v>
      </c>
    </row>
    <row r="20" ht="15" customHeight="1" spans="3:24">
      <c r="C20" s="33" t="s">
        <v>944</v>
      </c>
      <c r="D20" s="34"/>
      <c r="E20" s="34"/>
      <c r="F20" s="35"/>
      <c r="G20" s="36"/>
      <c r="H20" s="34"/>
      <c r="I20" s="35"/>
      <c r="J20" s="36"/>
      <c r="K20" s="34"/>
      <c r="L20" s="35"/>
      <c r="M20" s="36"/>
      <c r="N20" s="34"/>
      <c r="O20" s="35"/>
      <c r="P20" s="36"/>
      <c r="Q20" s="34"/>
      <c r="R20" s="35"/>
      <c r="S20" s="36"/>
      <c r="T20" s="34"/>
      <c r="U20" s="35"/>
      <c r="V20" s="36"/>
      <c r="W20" s="34"/>
      <c r="X20" s="37"/>
    </row>
    <row r="21" ht="15" customHeight="1" spans="3:24">
      <c r="C21" s="38"/>
      <c r="D21" s="39" t="s">
        <v>945</v>
      </c>
      <c r="E21" s="40" t="s">
        <v>946</v>
      </c>
      <c r="F21" s="41" t="s">
        <v>286</v>
      </c>
      <c r="G21" s="42" t="s">
        <v>338</v>
      </c>
      <c r="H21" s="43"/>
      <c r="I21" s="44"/>
      <c r="J21" s="42" t="s">
        <v>338</v>
      </c>
      <c r="K21" s="45"/>
      <c r="L21" s="44"/>
      <c r="M21" s="46" t="s">
        <v>338</v>
      </c>
      <c r="N21" s="45"/>
      <c r="O21" s="44"/>
      <c r="P21" s="46" t="s">
        <v>338</v>
      </c>
      <c r="Q21" s="45"/>
      <c r="R21" s="44"/>
      <c r="S21" s="46" t="s">
        <v>338</v>
      </c>
      <c r="T21" s="45"/>
      <c r="U21" s="44"/>
      <c r="V21" s="42" t="s">
        <v>338</v>
      </c>
      <c r="W21" s="16"/>
      <c r="X21" s="44"/>
    </row>
    <row r="22" ht="15" customHeight="1" spans="3:24">
      <c r="C22" s="38"/>
      <c r="D22" s="47" t="s">
        <v>947</v>
      </c>
      <c r="E22" s="48" t="s">
        <v>948</v>
      </c>
      <c r="F22" s="49" t="s">
        <v>35</v>
      </c>
      <c r="G22" s="42" t="s">
        <v>35</v>
      </c>
      <c r="H22" s="50"/>
      <c r="I22" s="51"/>
      <c r="J22" s="42" t="s">
        <v>35</v>
      </c>
      <c r="K22" s="16"/>
      <c r="L22" s="51"/>
      <c r="M22" s="46" t="s">
        <v>35</v>
      </c>
      <c r="N22" s="16"/>
      <c r="O22" s="51"/>
      <c r="P22" s="46" t="s">
        <v>35</v>
      </c>
      <c r="Q22" s="16"/>
      <c r="R22" s="51"/>
      <c r="S22" s="46" t="s">
        <v>35</v>
      </c>
      <c r="T22" s="52"/>
      <c r="U22" s="53"/>
      <c r="V22" s="46" t="s">
        <v>35</v>
      </c>
      <c r="W22" s="16"/>
      <c r="X22" s="51"/>
    </row>
    <row r="23" ht="15" customHeight="1" spans="3:24">
      <c r="C23" s="38"/>
      <c r="D23" s="39" t="s">
        <v>949</v>
      </c>
      <c r="E23" s="48" t="s">
        <v>950</v>
      </c>
      <c r="F23" s="49" t="s">
        <v>291</v>
      </c>
      <c r="G23" s="42" t="s">
        <v>951</v>
      </c>
      <c r="H23" s="50"/>
      <c r="I23" s="51"/>
      <c r="J23" s="42" t="s">
        <v>951</v>
      </c>
      <c r="K23" s="16"/>
      <c r="L23" s="51"/>
      <c r="M23" s="46" t="s">
        <v>951</v>
      </c>
      <c r="N23" s="16"/>
      <c r="O23" s="51"/>
      <c r="P23" s="46" t="s">
        <v>951</v>
      </c>
      <c r="Q23" s="16"/>
      <c r="R23" s="51"/>
      <c r="S23" s="46" t="s">
        <v>951</v>
      </c>
      <c r="T23" s="52"/>
      <c r="U23" s="53"/>
      <c r="V23" s="46" t="s">
        <v>951</v>
      </c>
      <c r="W23" s="16"/>
      <c r="X23" s="51"/>
    </row>
    <row r="24" ht="15" customHeight="1" spans="3:24">
      <c r="C24" s="38"/>
      <c r="D24" s="47" t="s">
        <v>952</v>
      </c>
      <c r="E24" s="40" t="s">
        <v>953</v>
      </c>
      <c r="F24" s="49" t="s">
        <v>35</v>
      </c>
      <c r="G24" s="42" t="s">
        <v>35</v>
      </c>
      <c r="H24" s="43"/>
      <c r="I24" s="44"/>
      <c r="J24" s="42" t="s">
        <v>35</v>
      </c>
      <c r="K24" s="45"/>
      <c r="L24" s="44"/>
      <c r="M24" s="46" t="s">
        <v>35</v>
      </c>
      <c r="N24" s="45"/>
      <c r="O24" s="44"/>
      <c r="P24" s="46" t="s">
        <v>35</v>
      </c>
      <c r="Q24" s="45"/>
      <c r="R24" s="44"/>
      <c r="S24" s="46" t="s">
        <v>35</v>
      </c>
      <c r="T24" s="45"/>
      <c r="U24" s="44"/>
      <c r="V24" s="42" t="s">
        <v>35</v>
      </c>
      <c r="W24" s="16"/>
      <c r="X24" s="44"/>
    </row>
    <row r="25" ht="15" customHeight="1" spans="3:24">
      <c r="C25" s="38"/>
      <c r="D25" s="39" t="s">
        <v>954</v>
      </c>
      <c r="E25" s="48" t="s">
        <v>955</v>
      </c>
      <c r="F25" s="49" t="s">
        <v>956</v>
      </c>
      <c r="G25" s="42" t="s">
        <v>957</v>
      </c>
      <c r="H25" s="50"/>
      <c r="I25" s="51"/>
      <c r="J25" s="42" t="s">
        <v>957</v>
      </c>
      <c r="K25" s="16"/>
      <c r="L25" s="51"/>
      <c r="M25" s="46" t="s">
        <v>958</v>
      </c>
      <c r="N25" s="16"/>
      <c r="O25" s="51"/>
      <c r="P25" s="46" t="s">
        <v>958</v>
      </c>
      <c r="Q25" s="16"/>
      <c r="R25" s="51"/>
      <c r="S25" s="46" t="s">
        <v>959</v>
      </c>
      <c r="T25" s="52"/>
      <c r="U25" s="53"/>
      <c r="V25" s="46" t="s">
        <v>958</v>
      </c>
      <c r="W25" s="16"/>
      <c r="X25" s="51"/>
    </row>
    <row r="26" ht="15" customHeight="1" spans="3:24">
      <c r="C26" s="38"/>
      <c r="D26" s="47" t="s">
        <v>960</v>
      </c>
      <c r="E26" s="48" t="s">
        <v>961</v>
      </c>
      <c r="F26" s="49" t="s">
        <v>35</v>
      </c>
      <c r="G26" s="42" t="s">
        <v>161</v>
      </c>
      <c r="H26" s="50"/>
      <c r="I26" s="51"/>
      <c r="J26" s="42" t="s">
        <v>161</v>
      </c>
      <c r="K26" s="16"/>
      <c r="L26" s="51"/>
      <c r="M26" s="46" t="s">
        <v>161</v>
      </c>
      <c r="N26" s="16"/>
      <c r="O26" s="51"/>
      <c r="P26" s="46" t="s">
        <v>161</v>
      </c>
      <c r="Q26" s="16"/>
      <c r="R26" s="51"/>
      <c r="S26" s="46" t="s">
        <v>161</v>
      </c>
      <c r="T26" s="52"/>
      <c r="U26" s="53"/>
      <c r="V26" s="46" t="s">
        <v>161</v>
      </c>
      <c r="W26" s="16"/>
      <c r="X26" s="51"/>
    </row>
    <row r="27" ht="15" customHeight="1" spans="3:24">
      <c r="C27" s="38"/>
      <c r="D27" s="39" t="s">
        <v>962</v>
      </c>
      <c r="E27" s="40" t="s">
        <v>963</v>
      </c>
      <c r="F27" s="49" t="s">
        <v>258</v>
      </c>
      <c r="G27" s="42" t="s">
        <v>418</v>
      </c>
      <c r="H27" s="43"/>
      <c r="I27" s="44"/>
      <c r="J27" s="42" t="s">
        <v>418</v>
      </c>
      <c r="K27" s="45"/>
      <c r="L27" s="44"/>
      <c r="M27" s="46" t="s">
        <v>964</v>
      </c>
      <c r="N27" s="45"/>
      <c r="O27" s="44"/>
      <c r="P27" s="46" t="s">
        <v>964</v>
      </c>
      <c r="Q27" s="45"/>
      <c r="R27" s="44"/>
      <c r="S27" s="46" t="s">
        <v>578</v>
      </c>
      <c r="T27" s="45"/>
      <c r="U27" s="44"/>
      <c r="V27" s="42" t="s">
        <v>964</v>
      </c>
      <c r="W27" s="16"/>
      <c r="X27" s="44"/>
    </row>
    <row r="28" ht="15" customHeight="1" spans="3:24">
      <c r="C28" s="38"/>
      <c r="D28" s="47" t="s">
        <v>965</v>
      </c>
      <c r="E28" s="48" t="s">
        <v>966</v>
      </c>
      <c r="F28" s="49" t="s">
        <v>161</v>
      </c>
      <c r="G28" s="42" t="s">
        <v>161</v>
      </c>
      <c r="H28" s="50"/>
      <c r="I28" s="51"/>
      <c r="J28" s="42" t="s">
        <v>161</v>
      </c>
      <c r="K28" s="16"/>
      <c r="L28" s="51"/>
      <c r="M28" s="46" t="s">
        <v>161</v>
      </c>
      <c r="N28" s="16"/>
      <c r="O28" s="51"/>
      <c r="P28" s="46" t="s">
        <v>161</v>
      </c>
      <c r="Q28" s="16"/>
      <c r="R28" s="51"/>
      <c r="S28" s="46" t="s">
        <v>161</v>
      </c>
      <c r="T28" s="52"/>
      <c r="U28" s="53"/>
      <c r="V28" s="46" t="s">
        <v>161</v>
      </c>
      <c r="W28" s="16"/>
      <c r="X28" s="51"/>
    </row>
    <row r="29" ht="15" customHeight="1" spans="3:24">
      <c r="C29" s="38"/>
      <c r="D29" s="39" t="s">
        <v>967</v>
      </c>
      <c r="E29" s="48" t="s">
        <v>968</v>
      </c>
      <c r="F29" s="49" t="s">
        <v>969</v>
      </c>
      <c r="G29" s="42" t="s">
        <v>970</v>
      </c>
      <c r="H29" s="50"/>
      <c r="I29" s="51"/>
      <c r="J29" s="42" t="s">
        <v>970</v>
      </c>
      <c r="K29" s="16"/>
      <c r="L29" s="51"/>
      <c r="M29" s="46" t="s">
        <v>90</v>
      </c>
      <c r="N29" s="16"/>
      <c r="O29" s="51"/>
      <c r="P29" s="46" t="s">
        <v>90</v>
      </c>
      <c r="Q29" s="16"/>
      <c r="R29" s="51"/>
      <c r="S29" s="46" t="s">
        <v>971</v>
      </c>
      <c r="T29" s="52"/>
      <c r="U29" s="53"/>
      <c r="V29" s="46" t="s">
        <v>90</v>
      </c>
      <c r="W29" s="16"/>
      <c r="X29" s="51"/>
    </row>
    <row r="30" ht="15" customHeight="1" spans="3:24">
      <c r="C30" s="38"/>
      <c r="D30" s="47" t="s">
        <v>972</v>
      </c>
      <c r="E30" s="40" t="s">
        <v>973</v>
      </c>
      <c r="F30" s="41" t="s">
        <v>234</v>
      </c>
      <c r="G30" s="42" t="s">
        <v>896</v>
      </c>
      <c r="H30" s="43"/>
      <c r="I30" s="44"/>
      <c r="J30" s="42" t="s">
        <v>896</v>
      </c>
      <c r="K30" s="45"/>
      <c r="L30" s="44"/>
      <c r="M30" s="46" t="s">
        <v>234</v>
      </c>
      <c r="N30" s="45"/>
      <c r="O30" s="44"/>
      <c r="P30" s="46" t="s">
        <v>234</v>
      </c>
      <c r="Q30" s="45"/>
      <c r="R30" s="44"/>
      <c r="S30" s="46" t="s">
        <v>896</v>
      </c>
      <c r="T30" s="45"/>
      <c r="U30" s="44"/>
      <c r="V30" s="42" t="s">
        <v>234</v>
      </c>
      <c r="W30" s="16"/>
      <c r="X30" s="44"/>
    </row>
    <row r="31" ht="15" customHeight="1" spans="3:24">
      <c r="C31" s="38"/>
      <c r="D31" s="39" t="s">
        <v>974</v>
      </c>
      <c r="E31" s="48" t="s">
        <v>975</v>
      </c>
      <c r="F31" s="49" t="s">
        <v>333</v>
      </c>
      <c r="G31" s="42" t="s">
        <v>976</v>
      </c>
      <c r="H31" s="50"/>
      <c r="I31" s="51"/>
      <c r="J31" s="42" t="s">
        <v>976</v>
      </c>
      <c r="K31" s="16"/>
      <c r="L31" s="51"/>
      <c r="M31" s="46" t="s">
        <v>977</v>
      </c>
      <c r="N31" s="16"/>
      <c r="O31" s="51"/>
      <c r="P31" s="46" t="s">
        <v>977</v>
      </c>
      <c r="Q31" s="16"/>
      <c r="R31" s="51"/>
      <c r="S31" s="46" t="s">
        <v>170</v>
      </c>
      <c r="T31" s="52"/>
      <c r="U31" s="53"/>
      <c r="V31" s="46" t="s">
        <v>977</v>
      </c>
      <c r="W31" s="16"/>
      <c r="X31" s="51"/>
    </row>
    <row r="32" ht="15" customHeight="1" spans="3:24">
      <c r="C32" s="38"/>
      <c r="D32" s="47" t="s">
        <v>978</v>
      </c>
      <c r="E32" s="48" t="s">
        <v>979</v>
      </c>
      <c r="F32" s="49" t="s">
        <v>234</v>
      </c>
      <c r="G32" s="42" t="s">
        <v>234</v>
      </c>
      <c r="H32" s="50"/>
      <c r="I32" s="51"/>
      <c r="J32" s="42" t="s">
        <v>234</v>
      </c>
      <c r="K32" s="16"/>
      <c r="L32" s="51"/>
      <c r="M32" s="46" t="s">
        <v>234</v>
      </c>
      <c r="N32" s="16"/>
      <c r="O32" s="51"/>
      <c r="P32" s="46" t="s">
        <v>234</v>
      </c>
      <c r="Q32" s="16"/>
      <c r="R32" s="51"/>
      <c r="S32" s="46" t="s">
        <v>234</v>
      </c>
      <c r="T32" s="52"/>
      <c r="U32" s="53"/>
      <c r="V32" s="46" t="s">
        <v>234</v>
      </c>
      <c r="W32" s="16"/>
      <c r="X32" s="51"/>
    </row>
    <row r="33" ht="15" customHeight="1" spans="3:24">
      <c r="C33" s="38"/>
      <c r="D33" s="39" t="s">
        <v>980</v>
      </c>
      <c r="E33" s="40" t="s">
        <v>981</v>
      </c>
      <c r="F33" s="41" t="s">
        <v>982</v>
      </c>
      <c r="G33" s="42" t="s">
        <v>983</v>
      </c>
      <c r="H33" s="43"/>
      <c r="I33" s="44"/>
      <c r="J33" s="42" t="s">
        <v>983</v>
      </c>
      <c r="K33" s="45"/>
      <c r="L33" s="44"/>
      <c r="M33" s="46" t="s">
        <v>984</v>
      </c>
      <c r="N33" s="45"/>
      <c r="O33" s="44"/>
      <c r="P33" s="46" t="s">
        <v>984</v>
      </c>
      <c r="Q33" s="45"/>
      <c r="R33" s="44"/>
      <c r="S33" s="46" t="s">
        <v>985</v>
      </c>
      <c r="T33" s="45"/>
      <c r="U33" s="44"/>
      <c r="V33" s="42" t="s">
        <v>984</v>
      </c>
      <c r="W33" s="16"/>
      <c r="X33" s="44"/>
    </row>
    <row r="34" ht="15" customHeight="1" spans="3:24">
      <c r="C34" s="38"/>
      <c r="D34" s="54" t="s">
        <v>986</v>
      </c>
      <c r="E34" s="48" t="s">
        <v>987</v>
      </c>
      <c r="F34" s="49" t="s">
        <v>988</v>
      </c>
      <c r="G34" s="42" t="s">
        <v>156</v>
      </c>
      <c r="H34" s="50"/>
      <c r="I34" s="51"/>
      <c r="J34" s="42" t="s">
        <v>156</v>
      </c>
      <c r="K34" s="16"/>
      <c r="L34" s="51"/>
      <c r="M34" s="46" t="s">
        <v>156</v>
      </c>
      <c r="N34" s="16"/>
      <c r="O34" s="51"/>
      <c r="P34" s="46" t="s">
        <v>156</v>
      </c>
      <c r="Q34" s="16"/>
      <c r="R34" s="51"/>
      <c r="S34" s="46" t="s">
        <v>156</v>
      </c>
      <c r="T34" s="52"/>
      <c r="U34" s="53"/>
      <c r="V34" s="46" t="s">
        <v>156</v>
      </c>
      <c r="W34" s="16"/>
      <c r="X34" s="51"/>
    </row>
    <row r="35" ht="15" customHeight="1" spans="3:24">
      <c r="C35" s="38"/>
      <c r="D35" s="54" t="s">
        <v>989</v>
      </c>
      <c r="E35" s="48" t="s">
        <v>990</v>
      </c>
      <c r="F35" s="49" t="s">
        <v>544</v>
      </c>
      <c r="G35" s="42" t="s">
        <v>275</v>
      </c>
      <c r="H35" s="50"/>
      <c r="I35" s="51"/>
      <c r="J35" s="42" t="s">
        <v>275</v>
      </c>
      <c r="K35" s="16"/>
      <c r="L35" s="51"/>
      <c r="M35" s="46" t="s">
        <v>802</v>
      </c>
      <c r="N35" s="16"/>
      <c r="O35" s="51"/>
      <c r="P35" s="46" t="s">
        <v>802</v>
      </c>
      <c r="Q35" s="16"/>
      <c r="R35" s="51"/>
      <c r="S35" s="46" t="s">
        <v>148</v>
      </c>
      <c r="T35" s="52"/>
      <c r="U35" s="53"/>
      <c r="V35" s="46" t="s">
        <v>802</v>
      </c>
      <c r="W35" s="16"/>
      <c r="X35" s="51"/>
    </row>
    <row r="36" ht="15" customHeight="1" spans="3:24">
      <c r="C36" s="38"/>
      <c r="D36" s="54" t="s">
        <v>991</v>
      </c>
      <c r="E36" s="40" t="s">
        <v>992</v>
      </c>
      <c r="F36" s="41" t="s">
        <v>988</v>
      </c>
      <c r="G36" s="42" t="s">
        <v>156</v>
      </c>
      <c r="H36" s="43"/>
      <c r="I36" s="44"/>
      <c r="J36" s="42" t="s">
        <v>156</v>
      </c>
      <c r="K36" s="45"/>
      <c r="L36" s="44"/>
      <c r="M36" s="46" t="s">
        <v>988</v>
      </c>
      <c r="N36" s="45"/>
      <c r="O36" s="44"/>
      <c r="P36" s="46" t="s">
        <v>988</v>
      </c>
      <c r="Q36" s="45"/>
      <c r="R36" s="44"/>
      <c r="S36" s="46" t="s">
        <v>988</v>
      </c>
      <c r="T36" s="45"/>
      <c r="U36" s="44"/>
      <c r="V36" s="42" t="s">
        <v>988</v>
      </c>
      <c r="W36" s="16"/>
      <c r="X36" s="44"/>
    </row>
    <row r="37" ht="15" customHeight="1" spans="3:24">
      <c r="C37" s="38"/>
      <c r="D37" s="54" t="s">
        <v>993</v>
      </c>
      <c r="E37" s="48" t="s">
        <v>994</v>
      </c>
      <c r="F37" s="49" t="s">
        <v>35</v>
      </c>
      <c r="G37" s="42" t="s">
        <v>35</v>
      </c>
      <c r="H37" s="50"/>
      <c r="I37" s="51"/>
      <c r="J37" s="42" t="s">
        <v>35</v>
      </c>
      <c r="K37" s="16"/>
      <c r="L37" s="51"/>
      <c r="M37" s="46" t="s">
        <v>35</v>
      </c>
      <c r="N37" s="16"/>
      <c r="O37" s="51"/>
      <c r="P37" s="46" t="s">
        <v>35</v>
      </c>
      <c r="Q37" s="16"/>
      <c r="R37" s="51"/>
      <c r="S37" s="46" t="s">
        <v>35</v>
      </c>
      <c r="T37" s="52"/>
      <c r="U37" s="53"/>
      <c r="V37" s="46" t="s">
        <v>35</v>
      </c>
      <c r="W37" s="16"/>
      <c r="X37" s="51"/>
    </row>
    <row r="38" ht="15" customHeight="1" spans="3:24">
      <c r="C38" s="38"/>
      <c r="D38" s="54" t="s">
        <v>995</v>
      </c>
      <c r="E38" s="48" t="s">
        <v>996</v>
      </c>
      <c r="F38" s="49" t="s">
        <v>38</v>
      </c>
      <c r="G38" s="42" t="s">
        <v>38</v>
      </c>
      <c r="H38" s="50"/>
      <c r="I38" s="51"/>
      <c r="J38" s="42" t="s">
        <v>38</v>
      </c>
      <c r="K38" s="16"/>
      <c r="L38" s="51"/>
      <c r="M38" s="46" t="s">
        <v>38</v>
      </c>
      <c r="N38" s="16"/>
      <c r="O38" s="51"/>
      <c r="P38" s="46" t="s">
        <v>38</v>
      </c>
      <c r="Q38" s="16"/>
      <c r="R38" s="51"/>
      <c r="S38" s="46" t="s">
        <v>38</v>
      </c>
      <c r="T38" s="52"/>
      <c r="U38" s="53"/>
      <c r="V38" s="46" t="s">
        <v>38</v>
      </c>
      <c r="W38" s="16"/>
      <c r="X38" s="51"/>
    </row>
    <row r="39" ht="15" customHeight="1" spans="3:24">
      <c r="C39" s="38"/>
      <c r="D39" s="39" t="s">
        <v>997</v>
      </c>
      <c r="E39" s="40" t="s">
        <v>998</v>
      </c>
      <c r="F39" s="41" t="s">
        <v>17</v>
      </c>
      <c r="G39" s="42" t="s">
        <v>17</v>
      </c>
      <c r="H39" s="43"/>
      <c r="I39" s="44"/>
      <c r="J39" s="42" t="s">
        <v>17</v>
      </c>
      <c r="K39" s="45"/>
      <c r="L39" s="44"/>
      <c r="M39" s="46" t="s">
        <v>17</v>
      </c>
      <c r="N39" s="45"/>
      <c r="O39" s="44"/>
      <c r="P39" s="46" t="s">
        <v>17</v>
      </c>
      <c r="Q39" s="45"/>
      <c r="R39" s="44"/>
      <c r="S39" s="46" t="s">
        <v>17</v>
      </c>
      <c r="T39" s="45"/>
      <c r="U39" s="44"/>
      <c r="V39" s="42" t="s">
        <v>17</v>
      </c>
      <c r="W39" s="16"/>
      <c r="X39" s="44"/>
    </row>
    <row r="40" ht="15" customHeight="1" spans="3:24">
      <c r="C40" s="38"/>
      <c r="D40" s="47" t="s">
        <v>999</v>
      </c>
      <c r="E40" s="48" t="s">
        <v>1000</v>
      </c>
      <c r="F40" s="49" t="s">
        <v>38</v>
      </c>
      <c r="G40" s="42" t="s">
        <v>38</v>
      </c>
      <c r="H40" s="50"/>
      <c r="I40" s="51"/>
      <c r="J40" s="42" t="s">
        <v>38</v>
      </c>
      <c r="K40" s="16"/>
      <c r="L40" s="51"/>
      <c r="M40" s="46" t="s">
        <v>38</v>
      </c>
      <c r="N40" s="16"/>
      <c r="O40" s="51"/>
      <c r="P40" s="46" t="s">
        <v>38</v>
      </c>
      <c r="Q40" s="16"/>
      <c r="R40" s="51"/>
      <c r="S40" s="46" t="s">
        <v>38</v>
      </c>
      <c r="T40" s="52"/>
      <c r="U40" s="53"/>
      <c r="V40" s="46" t="s">
        <v>38</v>
      </c>
      <c r="W40" s="16"/>
      <c r="X40" s="51"/>
    </row>
    <row r="41" ht="15" customHeight="1" spans="3:24">
      <c r="C41" s="38"/>
      <c r="D41" s="54" t="s">
        <v>1001</v>
      </c>
      <c r="E41" s="48" t="s">
        <v>1002</v>
      </c>
      <c r="F41" s="49" t="s">
        <v>558</v>
      </c>
      <c r="G41" s="42" t="s">
        <v>558</v>
      </c>
      <c r="H41" s="50"/>
      <c r="I41" s="51"/>
      <c r="J41" s="42" t="s">
        <v>558</v>
      </c>
      <c r="K41" s="16"/>
      <c r="L41" s="51"/>
      <c r="M41" s="46" t="s">
        <v>558</v>
      </c>
      <c r="N41" s="16"/>
      <c r="O41" s="51"/>
      <c r="P41" s="46" t="s">
        <v>558</v>
      </c>
      <c r="Q41" s="16"/>
      <c r="R41" s="51"/>
      <c r="S41" s="46" t="s">
        <v>558</v>
      </c>
      <c r="T41" s="52"/>
      <c r="U41" s="53"/>
      <c r="V41" s="46" t="s">
        <v>558</v>
      </c>
      <c r="W41" s="16"/>
      <c r="X41" s="51"/>
    </row>
    <row r="42" ht="15" customHeight="1" spans="3:24">
      <c r="C42" s="38"/>
      <c r="D42" s="47" t="s">
        <v>1003</v>
      </c>
      <c r="E42" s="40" t="s">
        <v>1004</v>
      </c>
      <c r="F42" s="41" t="s">
        <v>35</v>
      </c>
      <c r="G42" s="42" t="s">
        <v>35</v>
      </c>
      <c r="H42" s="43"/>
      <c r="I42" s="44"/>
      <c r="J42" s="42" t="s">
        <v>35</v>
      </c>
      <c r="K42" s="45"/>
      <c r="L42" s="44"/>
      <c r="M42" s="46" t="s">
        <v>35</v>
      </c>
      <c r="N42" s="45"/>
      <c r="O42" s="44"/>
      <c r="P42" s="46" t="s">
        <v>35</v>
      </c>
      <c r="Q42" s="45"/>
      <c r="R42" s="44"/>
      <c r="S42" s="46" t="s">
        <v>35</v>
      </c>
      <c r="T42" s="45"/>
      <c r="U42" s="44"/>
      <c r="V42" s="42" t="s">
        <v>35</v>
      </c>
      <c r="W42" s="16"/>
      <c r="X42" s="44"/>
    </row>
    <row r="43" ht="15" customHeight="1" spans="3:24">
      <c r="C43" s="38"/>
      <c r="D43" s="54" t="s">
        <v>1005</v>
      </c>
      <c r="E43" s="48" t="s">
        <v>1006</v>
      </c>
      <c r="F43" s="49" t="s">
        <v>1007</v>
      </c>
      <c r="G43" s="42" t="s">
        <v>1007</v>
      </c>
      <c r="H43" s="50"/>
      <c r="I43" s="51"/>
      <c r="J43" s="42" t="s">
        <v>1007</v>
      </c>
      <c r="K43" s="16"/>
      <c r="L43" s="51"/>
      <c r="M43" s="46" t="s">
        <v>1007</v>
      </c>
      <c r="N43" s="16"/>
      <c r="O43" s="51"/>
      <c r="P43" s="46" t="s">
        <v>1007</v>
      </c>
      <c r="Q43" s="16"/>
      <c r="R43" s="51"/>
      <c r="S43" s="46" t="s">
        <v>1007</v>
      </c>
      <c r="T43" s="52"/>
      <c r="U43" s="53"/>
      <c r="V43" s="46" t="s">
        <v>1007</v>
      </c>
      <c r="W43" s="16"/>
      <c r="X43" s="51"/>
    </row>
    <row r="44" ht="15" customHeight="1" spans="3:24">
      <c r="C44" s="38"/>
      <c r="D44" s="54" t="s">
        <v>1008</v>
      </c>
      <c r="E44" s="48" t="s">
        <v>1009</v>
      </c>
      <c r="F44" s="49" t="s">
        <v>35</v>
      </c>
      <c r="G44" s="42" t="s">
        <v>35</v>
      </c>
      <c r="H44" s="50"/>
      <c r="I44" s="51"/>
      <c r="J44" s="42" t="s">
        <v>35</v>
      </c>
      <c r="K44" s="16"/>
      <c r="L44" s="51"/>
      <c r="M44" s="46" t="s">
        <v>35</v>
      </c>
      <c r="N44" s="16"/>
      <c r="O44" s="51"/>
      <c r="P44" s="46" t="s">
        <v>35</v>
      </c>
      <c r="Q44" s="16"/>
      <c r="R44" s="51"/>
      <c r="S44" s="46" t="s">
        <v>35</v>
      </c>
      <c r="T44" s="52"/>
      <c r="U44" s="53"/>
      <c r="V44" s="46" t="s">
        <v>35</v>
      </c>
      <c r="W44" s="16"/>
      <c r="X44" s="51"/>
    </row>
    <row r="45" ht="15" customHeight="1" spans="3:24">
      <c r="C45" s="38"/>
      <c r="D45" s="54" t="s">
        <v>1010</v>
      </c>
      <c r="E45" s="40" t="s">
        <v>1011</v>
      </c>
      <c r="F45" s="41" t="s">
        <v>409</v>
      </c>
      <c r="G45" s="42" t="s">
        <v>409</v>
      </c>
      <c r="H45" s="43"/>
      <c r="I45" s="44"/>
      <c r="J45" s="42" t="s">
        <v>409</v>
      </c>
      <c r="K45" s="45"/>
      <c r="L45" s="44"/>
      <c r="M45" s="46" t="s">
        <v>409</v>
      </c>
      <c r="N45" s="45"/>
      <c r="O45" s="44"/>
      <c r="P45" s="46" t="s">
        <v>409</v>
      </c>
      <c r="Q45" s="45"/>
      <c r="R45" s="44"/>
      <c r="S45" s="46" t="s">
        <v>409</v>
      </c>
      <c r="T45" s="45"/>
      <c r="U45" s="44"/>
      <c r="V45" s="42" t="s">
        <v>409</v>
      </c>
      <c r="W45" s="16"/>
      <c r="X45" s="44"/>
    </row>
    <row r="46" ht="15" customHeight="1" spans="3:24">
      <c r="C46" s="38"/>
      <c r="D46" s="54" t="s">
        <v>1012</v>
      </c>
      <c r="E46" s="48" t="s">
        <v>1013</v>
      </c>
      <c r="F46" s="49" t="s">
        <v>90</v>
      </c>
      <c r="G46" s="42" t="s">
        <v>90</v>
      </c>
      <c r="H46" s="50"/>
      <c r="I46" s="51"/>
      <c r="J46" s="42" t="s">
        <v>90</v>
      </c>
      <c r="K46" s="16"/>
      <c r="L46" s="51"/>
      <c r="M46" s="46" t="s">
        <v>90</v>
      </c>
      <c r="N46" s="16"/>
      <c r="O46" s="51"/>
      <c r="P46" s="46" t="s">
        <v>90</v>
      </c>
      <c r="Q46" s="16"/>
      <c r="R46" s="51"/>
      <c r="S46" s="46" t="s">
        <v>90</v>
      </c>
      <c r="T46" s="52"/>
      <c r="U46" s="53"/>
      <c r="V46" s="46" t="s">
        <v>90</v>
      </c>
      <c r="W46" s="16"/>
      <c r="X46" s="51"/>
    </row>
    <row r="47" ht="15" customHeight="1" spans="3:24">
      <c r="C47" s="38"/>
      <c r="D47" s="54" t="s">
        <v>1014</v>
      </c>
      <c r="E47" s="48" t="s">
        <v>42</v>
      </c>
      <c r="F47" s="49" t="s">
        <v>38</v>
      </c>
      <c r="G47" s="42" t="s">
        <v>35</v>
      </c>
      <c r="H47" s="50"/>
      <c r="I47" s="51"/>
      <c r="J47" s="42" t="s">
        <v>35</v>
      </c>
      <c r="K47" s="16"/>
      <c r="L47" s="51"/>
      <c r="M47" s="46" t="s">
        <v>35</v>
      </c>
      <c r="N47" s="16"/>
      <c r="O47" s="51"/>
      <c r="P47" s="46" t="s">
        <v>35</v>
      </c>
      <c r="Q47" s="16"/>
      <c r="R47" s="51"/>
      <c r="S47" s="46" t="s">
        <v>35</v>
      </c>
      <c r="T47" s="52"/>
      <c r="U47" s="53"/>
      <c r="V47" s="46" t="s">
        <v>35</v>
      </c>
      <c r="W47" s="16"/>
      <c r="X47" s="51"/>
    </row>
    <row r="48" ht="15" customHeight="1" spans="3:24">
      <c r="C48" s="38"/>
      <c r="D48" s="54" t="s">
        <v>1015</v>
      </c>
      <c r="E48" s="40" t="s">
        <v>1016</v>
      </c>
      <c r="F48" s="41" t="s">
        <v>38</v>
      </c>
      <c r="G48" s="42" t="s">
        <v>38</v>
      </c>
      <c r="H48" s="43"/>
      <c r="I48" s="44"/>
      <c r="J48" s="42" t="s">
        <v>38</v>
      </c>
      <c r="K48" s="45"/>
      <c r="L48" s="44"/>
      <c r="M48" s="46" t="s">
        <v>35</v>
      </c>
      <c r="N48" s="45"/>
      <c r="O48" s="44"/>
      <c r="P48" s="46" t="s">
        <v>38</v>
      </c>
      <c r="Q48" s="45"/>
      <c r="R48" s="44"/>
      <c r="S48" s="46" t="s">
        <v>35</v>
      </c>
      <c r="T48" s="45"/>
      <c r="U48" s="44"/>
      <c r="V48" s="42" t="s">
        <v>38</v>
      </c>
      <c r="W48" s="16"/>
      <c r="X48" s="44"/>
    </row>
    <row r="49" ht="15" customHeight="1" spans="3:24">
      <c r="C49" s="38"/>
      <c r="D49" s="54" t="s">
        <v>1017</v>
      </c>
      <c r="E49" s="48" t="s">
        <v>1018</v>
      </c>
      <c r="F49" s="49" t="s">
        <v>220</v>
      </c>
      <c r="G49" s="42" t="s">
        <v>220</v>
      </c>
      <c r="H49" s="50"/>
      <c r="I49" s="51"/>
      <c r="J49" s="42" t="s">
        <v>220</v>
      </c>
      <c r="K49" s="16"/>
      <c r="L49" s="51"/>
      <c r="M49" s="46" t="s">
        <v>90</v>
      </c>
      <c r="N49" s="16"/>
      <c r="O49" s="51"/>
      <c r="P49" s="46" t="s">
        <v>220</v>
      </c>
      <c r="Q49" s="16"/>
      <c r="R49" s="51"/>
      <c r="S49" s="46" t="s">
        <v>90</v>
      </c>
      <c r="T49" s="52"/>
      <c r="U49" s="53"/>
      <c r="V49" s="46" t="s">
        <v>220</v>
      </c>
      <c r="W49" s="16"/>
      <c r="X49" s="51"/>
    </row>
    <row r="50" ht="15" customHeight="1" spans="3:24">
      <c r="C50" s="38"/>
      <c r="D50" s="54" t="s">
        <v>1019</v>
      </c>
      <c r="E50" s="48" t="s">
        <v>1020</v>
      </c>
      <c r="F50" s="49" t="s">
        <v>38</v>
      </c>
      <c r="G50" s="42" t="s">
        <v>38</v>
      </c>
      <c r="H50" s="50"/>
      <c r="I50" s="51"/>
      <c r="J50" s="42" t="s">
        <v>38</v>
      </c>
      <c r="K50" s="16"/>
      <c r="L50" s="51"/>
      <c r="M50" s="46" t="s">
        <v>38</v>
      </c>
      <c r="N50" s="16"/>
      <c r="O50" s="51"/>
      <c r="P50" s="46" t="s">
        <v>38</v>
      </c>
      <c r="Q50" s="16"/>
      <c r="R50" s="51"/>
      <c r="S50" s="46" t="s">
        <v>38</v>
      </c>
      <c r="T50" s="52"/>
      <c r="U50" s="53"/>
      <c r="V50" s="46" t="s">
        <v>38</v>
      </c>
      <c r="W50" s="16"/>
      <c r="X50" s="51"/>
    </row>
    <row r="51" ht="15" customHeight="1" spans="3:24">
      <c r="C51" s="38"/>
      <c r="D51" s="39" t="s">
        <v>1021</v>
      </c>
      <c r="E51" s="40" t="s">
        <v>1022</v>
      </c>
      <c r="F51" s="41" t="s">
        <v>38</v>
      </c>
      <c r="G51" s="42" t="s">
        <v>38</v>
      </c>
      <c r="H51" s="43"/>
      <c r="I51" s="44"/>
      <c r="J51" s="42" t="s">
        <v>38</v>
      </c>
      <c r="K51" s="45"/>
      <c r="L51" s="44"/>
      <c r="M51" s="46" t="s">
        <v>38</v>
      </c>
      <c r="N51" s="45"/>
      <c r="O51" s="44"/>
      <c r="P51" s="46" t="s">
        <v>38</v>
      </c>
      <c r="Q51" s="45"/>
      <c r="R51" s="44"/>
      <c r="S51" s="46" t="s">
        <v>38</v>
      </c>
      <c r="T51" s="45"/>
      <c r="U51" s="44"/>
      <c r="V51" s="42" t="s">
        <v>38</v>
      </c>
      <c r="W51" s="16"/>
      <c r="X51" s="44"/>
    </row>
    <row r="52" ht="15" customHeight="1" spans="3:24">
      <c r="C52" s="38"/>
      <c r="D52" s="47" t="s">
        <v>1023</v>
      </c>
      <c r="E52" s="48" t="s">
        <v>1024</v>
      </c>
      <c r="F52" s="49" t="s">
        <v>35</v>
      </c>
      <c r="G52" s="42" t="s">
        <v>35</v>
      </c>
      <c r="H52" s="50"/>
      <c r="I52" s="51"/>
      <c r="J52" s="42" t="s">
        <v>35</v>
      </c>
      <c r="K52" s="16"/>
      <c r="L52" s="51"/>
      <c r="M52" s="46" t="s">
        <v>35</v>
      </c>
      <c r="N52" s="16"/>
      <c r="O52" s="51"/>
      <c r="P52" s="46" t="s">
        <v>35</v>
      </c>
      <c r="Q52" s="16"/>
      <c r="R52" s="51"/>
      <c r="S52" s="46" t="s">
        <v>35</v>
      </c>
      <c r="T52" s="52"/>
      <c r="U52" s="53"/>
      <c r="V52" s="46" t="s">
        <v>35</v>
      </c>
      <c r="W52" s="16"/>
      <c r="X52" s="51"/>
    </row>
    <row r="53" ht="15" customHeight="1" spans="3:24">
      <c r="C53" s="38"/>
      <c r="D53" s="39" t="s">
        <v>1025</v>
      </c>
      <c r="E53" s="48" t="s">
        <v>1026</v>
      </c>
      <c r="F53" s="49" t="s">
        <v>38</v>
      </c>
      <c r="G53" s="42" t="s">
        <v>35</v>
      </c>
      <c r="H53" s="50"/>
      <c r="I53" s="51"/>
      <c r="J53" s="42" t="s">
        <v>35</v>
      </c>
      <c r="K53" s="16"/>
      <c r="L53" s="51"/>
      <c r="M53" s="46" t="s">
        <v>35</v>
      </c>
      <c r="N53" s="16"/>
      <c r="O53" s="51"/>
      <c r="P53" s="46" t="s">
        <v>35</v>
      </c>
      <c r="Q53" s="16"/>
      <c r="R53" s="51"/>
      <c r="S53" s="46" t="s">
        <v>35</v>
      </c>
      <c r="T53" s="52"/>
      <c r="U53" s="53"/>
      <c r="V53" s="46" t="s">
        <v>35</v>
      </c>
      <c r="W53" s="16"/>
      <c r="X53" s="51"/>
    </row>
    <row r="54" ht="15" customHeight="1" spans="3:24">
      <c r="C54" s="38"/>
      <c r="D54" s="47" t="s">
        <v>1027</v>
      </c>
      <c r="E54" s="40" t="s">
        <v>1028</v>
      </c>
      <c r="F54" s="41" t="s">
        <v>38</v>
      </c>
      <c r="G54" s="42" t="s">
        <v>38</v>
      </c>
      <c r="H54" s="43"/>
      <c r="I54" s="44"/>
      <c r="J54" s="42" t="s">
        <v>38</v>
      </c>
      <c r="K54" s="45"/>
      <c r="L54" s="44"/>
      <c r="M54" s="46" t="s">
        <v>38</v>
      </c>
      <c r="N54" s="45"/>
      <c r="O54" s="44"/>
      <c r="P54" s="46" t="s">
        <v>38</v>
      </c>
      <c r="Q54" s="45"/>
      <c r="R54" s="44"/>
      <c r="S54" s="46" t="s">
        <v>38</v>
      </c>
      <c r="T54" s="45"/>
      <c r="U54" s="44"/>
      <c r="V54" s="42" t="s">
        <v>38</v>
      </c>
      <c r="W54" s="16"/>
      <c r="X54" s="44"/>
    </row>
    <row r="55" ht="15" customHeight="1" spans="3:24">
      <c r="C55" s="38"/>
      <c r="D55" s="39" t="s">
        <v>1029</v>
      </c>
      <c r="E55" s="48" t="s">
        <v>44</v>
      </c>
      <c r="F55" s="49" t="s">
        <v>135</v>
      </c>
      <c r="G55" s="42" t="s">
        <v>1030</v>
      </c>
      <c r="H55" s="50"/>
      <c r="I55" s="51"/>
      <c r="J55" s="42" t="s">
        <v>1030</v>
      </c>
      <c r="K55" s="16"/>
      <c r="L55" s="51"/>
      <c r="M55" s="46" t="s">
        <v>217</v>
      </c>
      <c r="N55" s="16"/>
      <c r="O55" s="51"/>
      <c r="P55" s="46" t="s">
        <v>217</v>
      </c>
      <c r="Q55" s="16"/>
      <c r="R55" s="51"/>
      <c r="S55" s="46" t="s">
        <v>1031</v>
      </c>
      <c r="T55" s="52"/>
      <c r="U55" s="53"/>
      <c r="V55" s="46" t="s">
        <v>217</v>
      </c>
      <c r="W55" s="16"/>
      <c r="X55" s="51"/>
    </row>
    <row r="56" ht="15" customHeight="1" spans="3:24">
      <c r="C56" s="38"/>
      <c r="D56" s="47" t="s">
        <v>1032</v>
      </c>
      <c r="E56" s="48" t="s">
        <v>47</v>
      </c>
      <c r="F56" s="49" t="s">
        <v>38</v>
      </c>
      <c r="G56" s="42" t="s">
        <v>234</v>
      </c>
      <c r="H56" s="50"/>
      <c r="I56" s="51"/>
      <c r="J56" s="42" t="s">
        <v>234</v>
      </c>
      <c r="K56" s="16"/>
      <c r="L56" s="51"/>
      <c r="M56" s="46" t="s">
        <v>220</v>
      </c>
      <c r="N56" s="16"/>
      <c r="O56" s="51"/>
      <c r="P56" s="46" t="s">
        <v>220</v>
      </c>
      <c r="Q56" s="16"/>
      <c r="R56" s="51"/>
      <c r="S56" s="46" t="s">
        <v>90</v>
      </c>
      <c r="T56" s="52"/>
      <c r="U56" s="53"/>
      <c r="V56" s="46" t="s">
        <v>220</v>
      </c>
      <c r="W56" s="16"/>
      <c r="X56" s="51"/>
    </row>
    <row r="57" ht="15" customHeight="1" spans="3:24">
      <c r="C57" s="38"/>
      <c r="D57" s="39" t="s">
        <v>1033</v>
      </c>
      <c r="E57" s="40" t="s">
        <v>1034</v>
      </c>
      <c r="F57" s="41" t="s">
        <v>135</v>
      </c>
      <c r="G57" s="42" t="s">
        <v>1035</v>
      </c>
      <c r="H57" s="43"/>
      <c r="I57" s="44"/>
      <c r="J57" s="42" t="s">
        <v>1035</v>
      </c>
      <c r="K57" s="45"/>
      <c r="L57" s="44"/>
      <c r="M57" s="46" t="s">
        <v>1036</v>
      </c>
      <c r="N57" s="45"/>
      <c r="O57" s="44"/>
      <c r="P57" s="46" t="s">
        <v>1036</v>
      </c>
      <c r="Q57" s="45"/>
      <c r="R57" s="44"/>
      <c r="S57" s="46" t="s">
        <v>1037</v>
      </c>
      <c r="T57" s="45"/>
      <c r="U57" s="44"/>
      <c r="V57" s="42" t="s">
        <v>1036</v>
      </c>
      <c r="W57" s="16"/>
      <c r="X57" s="44"/>
    </row>
    <row r="58" ht="15" customHeight="1" spans="3:24">
      <c r="C58" s="38"/>
      <c r="D58" s="47" t="s">
        <v>1038</v>
      </c>
      <c r="E58" s="48" t="s">
        <v>1039</v>
      </c>
      <c r="F58" s="49" t="s">
        <v>38</v>
      </c>
      <c r="G58" s="42" t="s">
        <v>17</v>
      </c>
      <c r="H58" s="50"/>
      <c r="I58" s="51"/>
      <c r="J58" s="42" t="s">
        <v>17</v>
      </c>
      <c r="K58" s="16"/>
      <c r="L58" s="51"/>
      <c r="M58" s="46" t="s">
        <v>17</v>
      </c>
      <c r="N58" s="16"/>
      <c r="O58" s="51"/>
      <c r="P58" s="46" t="s">
        <v>17</v>
      </c>
      <c r="Q58" s="16"/>
      <c r="R58" s="51"/>
      <c r="S58" s="46" t="s">
        <v>17</v>
      </c>
      <c r="T58" s="52"/>
      <c r="U58" s="53"/>
      <c r="V58" s="46" t="s">
        <v>17</v>
      </c>
      <c r="W58" s="16"/>
      <c r="X58" s="51"/>
    </row>
    <row r="59" ht="15" customHeight="1" spans="3:24">
      <c r="C59" s="38"/>
      <c r="D59" s="39" t="s">
        <v>1040</v>
      </c>
      <c r="E59" s="40" t="s">
        <v>50</v>
      </c>
      <c r="F59" s="41" t="s">
        <v>35</v>
      </c>
      <c r="G59" s="42" t="s">
        <v>38</v>
      </c>
      <c r="H59" s="43"/>
      <c r="I59" s="44"/>
      <c r="J59" s="42" t="s">
        <v>38</v>
      </c>
      <c r="K59" s="45"/>
      <c r="L59" s="44"/>
      <c r="M59" s="46" t="s">
        <v>38</v>
      </c>
      <c r="N59" s="45"/>
      <c r="O59" s="44"/>
      <c r="P59" s="46" t="s">
        <v>38</v>
      </c>
      <c r="Q59" s="45"/>
      <c r="R59" s="44"/>
      <c r="S59" s="46" t="s">
        <v>38</v>
      </c>
      <c r="T59" s="45"/>
      <c r="U59" s="44"/>
      <c r="V59" s="42" t="s">
        <v>38</v>
      </c>
      <c r="W59" s="16"/>
      <c r="X59" s="44"/>
    </row>
    <row r="60" ht="15" customHeight="1" spans="3:24">
      <c r="C60" s="38"/>
      <c r="D60" s="47" t="s">
        <v>1041</v>
      </c>
      <c r="E60" s="48" t="s">
        <v>53</v>
      </c>
      <c r="F60" s="49" t="s">
        <v>38</v>
      </c>
      <c r="G60" s="42" t="s">
        <v>35</v>
      </c>
      <c r="H60" s="50"/>
      <c r="I60" s="51"/>
      <c r="J60" s="42" t="s">
        <v>35</v>
      </c>
      <c r="K60" s="16"/>
      <c r="L60" s="51"/>
      <c r="M60" s="46" t="s">
        <v>35</v>
      </c>
      <c r="N60" s="16"/>
      <c r="O60" s="51"/>
      <c r="P60" s="46" t="s">
        <v>35</v>
      </c>
      <c r="Q60" s="16"/>
      <c r="R60" s="51"/>
      <c r="S60" s="46" t="s">
        <v>35</v>
      </c>
      <c r="T60" s="52"/>
      <c r="U60" s="53"/>
      <c r="V60" s="46" t="s">
        <v>35</v>
      </c>
      <c r="W60" s="16"/>
      <c r="X60" s="51"/>
    </row>
    <row r="61" spans="3:24">
      <c r="C61" s="38"/>
      <c r="D61" s="54" t="s">
        <v>1042</v>
      </c>
      <c r="E61" s="48" t="s">
        <v>1043</v>
      </c>
      <c r="F61" s="49" t="s">
        <v>38</v>
      </c>
      <c r="G61" s="42" t="s">
        <v>38</v>
      </c>
      <c r="H61" s="50"/>
      <c r="I61" s="51"/>
      <c r="J61" s="42" t="s">
        <v>38</v>
      </c>
      <c r="K61" s="16"/>
      <c r="L61" s="51"/>
      <c r="M61" s="46" t="s">
        <v>38</v>
      </c>
      <c r="N61" s="16"/>
      <c r="O61" s="51"/>
      <c r="P61" s="46" t="s">
        <v>38</v>
      </c>
      <c r="Q61" s="16"/>
      <c r="R61" s="51"/>
      <c r="S61" s="46" t="s">
        <v>38</v>
      </c>
      <c r="T61" s="52"/>
      <c r="U61" s="53"/>
      <c r="V61" s="46" t="s">
        <v>38</v>
      </c>
      <c r="W61" s="16"/>
      <c r="X61" s="51"/>
    </row>
    <row r="62" spans="3:24">
      <c r="C62" s="38"/>
      <c r="D62" s="47" t="s">
        <v>1044</v>
      </c>
      <c r="E62" s="40" t="s">
        <v>1045</v>
      </c>
      <c r="F62" s="41" t="s">
        <v>38</v>
      </c>
      <c r="G62" s="42" t="s">
        <v>38</v>
      </c>
      <c r="H62" s="43"/>
      <c r="I62" s="44"/>
      <c r="J62" s="42" t="s">
        <v>38</v>
      </c>
      <c r="K62" s="45"/>
      <c r="L62" s="44"/>
      <c r="M62" s="46" t="s">
        <v>38</v>
      </c>
      <c r="N62" s="45"/>
      <c r="O62" s="44"/>
      <c r="P62" s="46" t="s">
        <v>38</v>
      </c>
      <c r="Q62" s="45"/>
      <c r="R62" s="44"/>
      <c r="S62" s="46" t="s">
        <v>38</v>
      </c>
      <c r="T62" s="45"/>
      <c r="U62" s="44"/>
      <c r="V62" s="42" t="s">
        <v>38</v>
      </c>
      <c r="W62" s="16"/>
      <c r="X62" s="44"/>
    </row>
    <row r="63" spans="3:24">
      <c r="C63" s="38"/>
      <c r="D63" s="39" t="s">
        <v>1046</v>
      </c>
      <c r="E63" s="40" t="s">
        <v>1047</v>
      </c>
      <c r="F63" s="41" t="s">
        <v>38</v>
      </c>
      <c r="G63" s="42" t="s">
        <v>35</v>
      </c>
      <c r="H63" s="43"/>
      <c r="I63" s="44"/>
      <c r="J63" s="42" t="s">
        <v>35</v>
      </c>
      <c r="K63" s="45"/>
      <c r="L63" s="44"/>
      <c r="M63" s="46" t="s">
        <v>35</v>
      </c>
      <c r="N63" s="45"/>
      <c r="O63" s="44"/>
      <c r="P63" s="46" t="s">
        <v>35</v>
      </c>
      <c r="Q63" s="45"/>
      <c r="R63" s="44"/>
      <c r="S63" s="46" t="s">
        <v>35</v>
      </c>
      <c r="T63" s="45"/>
      <c r="U63" s="44"/>
      <c r="V63" s="42" t="s">
        <v>35</v>
      </c>
      <c r="W63" s="16"/>
      <c r="X63" s="44"/>
    </row>
    <row r="64" spans="3:24">
      <c r="C64" s="38"/>
      <c r="D64" s="47" t="s">
        <v>1048</v>
      </c>
      <c r="E64" s="48" t="s">
        <v>1049</v>
      </c>
      <c r="F64" s="49" t="s">
        <v>35</v>
      </c>
      <c r="G64" s="42" t="s">
        <v>35</v>
      </c>
      <c r="H64" s="50"/>
      <c r="I64" s="51"/>
      <c r="J64" s="42" t="s">
        <v>35</v>
      </c>
      <c r="K64" s="16"/>
      <c r="L64" s="51"/>
      <c r="M64" s="46" t="s">
        <v>35</v>
      </c>
      <c r="N64" s="16"/>
      <c r="O64" s="51"/>
      <c r="P64" s="46" t="s">
        <v>35</v>
      </c>
      <c r="Q64" s="16"/>
      <c r="R64" s="51"/>
      <c r="S64" s="46" t="s">
        <v>35</v>
      </c>
      <c r="T64" s="52"/>
      <c r="U64" s="53"/>
      <c r="V64" s="46" t="s">
        <v>35</v>
      </c>
      <c r="W64" s="16"/>
      <c r="X64" s="51"/>
    </row>
    <row r="65" spans="3:24">
      <c r="C65" s="38"/>
      <c r="D65" s="54" t="s">
        <v>1050</v>
      </c>
      <c r="E65" s="48" t="s">
        <v>1051</v>
      </c>
      <c r="F65" s="49" t="s">
        <v>38</v>
      </c>
      <c r="G65" s="42" t="s">
        <v>38</v>
      </c>
      <c r="H65" s="50"/>
      <c r="I65" s="51"/>
      <c r="J65" s="42" t="s">
        <v>38</v>
      </c>
      <c r="K65" s="16"/>
      <c r="L65" s="51"/>
      <c r="M65" s="46" t="s">
        <v>38</v>
      </c>
      <c r="N65" s="16"/>
      <c r="O65" s="51"/>
      <c r="P65" s="46" t="s">
        <v>38</v>
      </c>
      <c r="Q65" s="16"/>
      <c r="R65" s="51"/>
      <c r="S65" s="46" t="s">
        <v>38</v>
      </c>
      <c r="T65" s="52"/>
      <c r="U65" s="53"/>
      <c r="V65" s="46" t="s">
        <v>38</v>
      </c>
      <c r="W65" s="16"/>
      <c r="X65" s="51"/>
    </row>
    <row r="66" spans="3:24">
      <c r="C66" s="38"/>
      <c r="D66" s="47" t="s">
        <v>1052</v>
      </c>
      <c r="E66" s="40" t="s">
        <v>1053</v>
      </c>
      <c r="F66" s="41" t="s">
        <v>35</v>
      </c>
      <c r="G66" s="42" t="s">
        <v>149</v>
      </c>
      <c r="H66" s="43"/>
      <c r="I66" s="44"/>
      <c r="J66" s="42" t="s">
        <v>149</v>
      </c>
      <c r="K66" s="45"/>
      <c r="L66" s="44"/>
      <c r="M66" s="46" t="s">
        <v>149</v>
      </c>
      <c r="N66" s="45"/>
      <c r="O66" s="44"/>
      <c r="P66" s="46" t="s">
        <v>149</v>
      </c>
      <c r="Q66" s="45"/>
      <c r="R66" s="44"/>
      <c r="S66" s="46" t="s">
        <v>149</v>
      </c>
      <c r="T66" s="45"/>
      <c r="U66" s="44"/>
      <c r="V66" s="42" t="s">
        <v>149</v>
      </c>
      <c r="W66" s="16"/>
      <c r="X66" s="44"/>
    </row>
    <row r="67" spans="3:24">
      <c r="C67" s="38"/>
      <c r="D67" s="39" t="s">
        <v>1054</v>
      </c>
      <c r="E67" s="40" t="s">
        <v>1055</v>
      </c>
      <c r="F67" s="41" t="s">
        <v>38</v>
      </c>
      <c r="G67" s="42" t="s">
        <v>38</v>
      </c>
      <c r="H67" s="43"/>
      <c r="I67" s="44"/>
      <c r="J67" s="42" t="s">
        <v>38</v>
      </c>
      <c r="K67" s="45"/>
      <c r="L67" s="44"/>
      <c r="M67" s="46" t="s">
        <v>38</v>
      </c>
      <c r="N67" s="45"/>
      <c r="O67" s="44"/>
      <c r="P67" s="46" t="s">
        <v>38</v>
      </c>
      <c r="Q67" s="45"/>
      <c r="R67" s="44"/>
      <c r="S67" s="46" t="s">
        <v>38</v>
      </c>
      <c r="T67" s="45"/>
      <c r="U67" s="44"/>
      <c r="V67" s="42" t="s">
        <v>38</v>
      </c>
      <c r="W67" s="16"/>
      <c r="X67" s="44"/>
    </row>
    <row r="68" spans="3:24">
      <c r="C68" s="38"/>
      <c r="D68" s="47" t="s">
        <v>1056</v>
      </c>
      <c r="E68" s="48" t="s">
        <v>1057</v>
      </c>
      <c r="F68" s="49" t="s">
        <v>35</v>
      </c>
      <c r="G68" s="42" t="s">
        <v>148</v>
      </c>
      <c r="H68" s="50"/>
      <c r="I68" s="51"/>
      <c r="J68" s="42" t="s">
        <v>148</v>
      </c>
      <c r="K68" s="16"/>
      <c r="L68" s="51"/>
      <c r="M68" s="46" t="s">
        <v>148</v>
      </c>
      <c r="N68" s="16"/>
      <c r="O68" s="51"/>
      <c r="P68" s="46" t="s">
        <v>148</v>
      </c>
      <c r="Q68" s="16"/>
      <c r="R68" s="51"/>
      <c r="S68" s="46" t="s">
        <v>148</v>
      </c>
      <c r="T68" s="52"/>
      <c r="U68" s="53"/>
      <c r="V68" s="46" t="s">
        <v>148</v>
      </c>
      <c r="W68" s="16"/>
      <c r="X68" s="51"/>
    </row>
    <row r="69" spans="3:24">
      <c r="C69" s="38"/>
      <c r="D69" s="54" t="s">
        <v>1058</v>
      </c>
      <c r="E69" s="48" t="s">
        <v>1059</v>
      </c>
      <c r="F69" s="49" t="s">
        <v>38</v>
      </c>
      <c r="G69" s="42" t="s">
        <v>38</v>
      </c>
      <c r="H69" s="50"/>
      <c r="I69" s="51"/>
      <c r="J69" s="42" t="s">
        <v>550</v>
      </c>
      <c r="K69" s="16"/>
      <c r="L69" s="51"/>
      <c r="M69" s="46" t="s">
        <v>1060</v>
      </c>
      <c r="N69" s="16"/>
      <c r="O69" s="51"/>
      <c r="P69" s="46" t="s">
        <v>809</v>
      </c>
      <c r="Q69" s="16"/>
      <c r="R69" s="51"/>
      <c r="S69" s="46" t="s">
        <v>970</v>
      </c>
      <c r="T69" s="52"/>
      <c r="U69" s="53"/>
      <c r="V69" s="46" t="s">
        <v>153</v>
      </c>
      <c r="W69" s="16"/>
      <c r="X69" s="51"/>
    </row>
    <row r="70" spans="3:24">
      <c r="C70" s="38"/>
      <c r="D70" s="47" t="s">
        <v>1061</v>
      </c>
      <c r="E70" s="40" t="s">
        <v>1062</v>
      </c>
      <c r="F70" s="41" t="s">
        <v>38</v>
      </c>
      <c r="G70" s="42" t="s">
        <v>38</v>
      </c>
      <c r="H70" s="43"/>
      <c r="I70" s="44"/>
      <c r="J70" s="42" t="s">
        <v>35</v>
      </c>
      <c r="K70" s="45"/>
      <c r="L70" s="44"/>
      <c r="M70" s="46" t="s">
        <v>38</v>
      </c>
      <c r="N70" s="45"/>
      <c r="O70" s="44"/>
      <c r="P70" s="46" t="s">
        <v>90</v>
      </c>
      <c r="Q70" s="45"/>
      <c r="R70" s="44"/>
      <c r="S70" s="46" t="s">
        <v>35</v>
      </c>
      <c r="T70" s="45"/>
      <c r="U70" s="44"/>
      <c r="V70" s="42" t="s">
        <v>90</v>
      </c>
      <c r="W70" s="16"/>
      <c r="X70" s="44"/>
    </row>
    <row r="71" spans="3:24">
      <c r="C71" s="38"/>
      <c r="D71" s="39" t="s">
        <v>1063</v>
      </c>
      <c r="E71" s="40" t="s">
        <v>1064</v>
      </c>
      <c r="F71" s="41" t="s">
        <v>38</v>
      </c>
      <c r="G71" s="42" t="s">
        <v>467</v>
      </c>
      <c r="H71" s="43"/>
      <c r="I71" s="44"/>
      <c r="J71" s="42" t="s">
        <v>1065</v>
      </c>
      <c r="K71" s="45"/>
      <c r="L71" s="44"/>
      <c r="M71" s="46" t="s">
        <v>1066</v>
      </c>
      <c r="N71" s="45"/>
      <c r="O71" s="44"/>
      <c r="P71" s="46" t="s">
        <v>539</v>
      </c>
      <c r="Q71" s="45"/>
      <c r="R71" s="44"/>
      <c r="S71" s="46" t="s">
        <v>188</v>
      </c>
      <c r="T71" s="45"/>
      <c r="U71" s="44"/>
      <c r="V71" s="42" t="s">
        <v>38</v>
      </c>
      <c r="W71" s="16"/>
      <c r="X71" s="44"/>
    </row>
    <row r="72" spans="3:24">
      <c r="C72" s="38"/>
      <c r="D72" s="47" t="s">
        <v>1067</v>
      </c>
      <c r="E72" s="48" t="s">
        <v>1068</v>
      </c>
      <c r="F72" s="49" t="s">
        <v>38</v>
      </c>
      <c r="G72" s="42" t="s">
        <v>234</v>
      </c>
      <c r="H72" s="50"/>
      <c r="I72" s="51"/>
      <c r="J72" s="42" t="s">
        <v>161</v>
      </c>
      <c r="K72" s="16"/>
      <c r="L72" s="51"/>
      <c r="M72" s="46" t="s">
        <v>17</v>
      </c>
      <c r="N72" s="16"/>
      <c r="O72" s="51"/>
      <c r="P72" s="46" t="s">
        <v>90</v>
      </c>
      <c r="Q72" s="16"/>
      <c r="R72" s="51"/>
      <c r="S72" s="46" t="s">
        <v>220</v>
      </c>
      <c r="T72" s="52"/>
      <c r="U72" s="53"/>
      <c r="V72" s="46" t="s">
        <v>220</v>
      </c>
      <c r="W72" s="16"/>
      <c r="X72" s="51"/>
    </row>
    <row r="73" spans="3:24">
      <c r="C73" s="38"/>
      <c r="D73" s="54" t="s">
        <v>1069</v>
      </c>
      <c r="E73" s="48" t="s">
        <v>1070</v>
      </c>
      <c r="F73" s="49" t="s">
        <v>38</v>
      </c>
      <c r="G73" s="42" t="s">
        <v>38</v>
      </c>
      <c r="H73" s="50"/>
      <c r="I73" s="51"/>
      <c r="J73" s="42" t="s">
        <v>38</v>
      </c>
      <c r="K73" s="16"/>
      <c r="L73" s="51"/>
      <c r="M73" s="46" t="s">
        <v>38</v>
      </c>
      <c r="N73" s="16"/>
      <c r="O73" s="51"/>
      <c r="P73" s="46" t="s">
        <v>38</v>
      </c>
      <c r="Q73" s="16"/>
      <c r="R73" s="51"/>
      <c r="S73" s="46" t="s">
        <v>38</v>
      </c>
      <c r="T73" s="52"/>
      <c r="U73" s="53"/>
      <c r="V73" s="46" t="s">
        <v>38</v>
      </c>
      <c r="W73" s="16"/>
      <c r="X73" s="51"/>
    </row>
    <row r="74" spans="3:24">
      <c r="C74" s="38"/>
      <c r="D74" s="47" t="s">
        <v>1071</v>
      </c>
      <c r="E74" s="40" t="s">
        <v>1072</v>
      </c>
      <c r="F74" s="41" t="s">
        <v>35</v>
      </c>
      <c r="G74" s="42" t="s">
        <v>148</v>
      </c>
      <c r="H74" s="43"/>
      <c r="I74" s="44"/>
      <c r="J74" s="42" t="s">
        <v>148</v>
      </c>
      <c r="K74" s="45"/>
      <c r="L74" s="44"/>
      <c r="M74" s="46" t="s">
        <v>148</v>
      </c>
      <c r="N74" s="45"/>
      <c r="O74" s="44"/>
      <c r="P74" s="46" t="s">
        <v>148</v>
      </c>
      <c r="Q74" s="45"/>
      <c r="R74" s="44"/>
      <c r="S74" s="46" t="s">
        <v>148</v>
      </c>
      <c r="T74" s="45"/>
      <c r="U74" s="44"/>
      <c r="V74" s="42" t="s">
        <v>148</v>
      </c>
      <c r="W74" s="16"/>
      <c r="X74" s="44"/>
    </row>
    <row r="75" spans="3:24">
      <c r="C75" s="38"/>
      <c r="D75" s="39" t="s">
        <v>1073</v>
      </c>
      <c r="E75" s="40" t="s">
        <v>58</v>
      </c>
      <c r="F75" s="49" t="s">
        <v>38</v>
      </c>
      <c r="G75" s="42" t="s">
        <v>90</v>
      </c>
      <c r="H75" s="43"/>
      <c r="I75" s="44"/>
      <c r="J75" s="42" t="s">
        <v>90</v>
      </c>
      <c r="K75" s="45"/>
      <c r="L75" s="44"/>
      <c r="M75" s="46" t="s">
        <v>90</v>
      </c>
      <c r="N75" s="45"/>
      <c r="O75" s="44"/>
      <c r="P75" s="46" t="s">
        <v>90</v>
      </c>
      <c r="Q75" s="45"/>
      <c r="R75" s="44"/>
      <c r="S75" s="46" t="s">
        <v>90</v>
      </c>
      <c r="T75" s="45"/>
      <c r="U75" s="44"/>
      <c r="V75" s="42" t="s">
        <v>90</v>
      </c>
      <c r="W75" s="16"/>
      <c r="X75" s="44"/>
    </row>
    <row r="76" spans="3:24">
      <c r="C76" s="38"/>
      <c r="D76" s="47" t="s">
        <v>1074</v>
      </c>
      <c r="E76" s="48" t="s">
        <v>1075</v>
      </c>
      <c r="F76" s="49" t="s">
        <v>38</v>
      </c>
      <c r="G76" s="42" t="s">
        <v>35</v>
      </c>
      <c r="H76" s="50"/>
      <c r="I76" s="51"/>
      <c r="J76" s="42" t="s">
        <v>35</v>
      </c>
      <c r="K76" s="16"/>
      <c r="L76" s="51"/>
      <c r="M76" s="42" t="s">
        <v>35</v>
      </c>
      <c r="N76" s="16"/>
      <c r="O76" s="51"/>
      <c r="P76" s="42" t="s">
        <v>35</v>
      </c>
      <c r="Q76" s="16"/>
      <c r="R76" s="51"/>
      <c r="S76" s="42" t="s">
        <v>35</v>
      </c>
      <c r="T76" s="52"/>
      <c r="U76" s="53"/>
      <c r="V76" s="42" t="s">
        <v>35</v>
      </c>
      <c r="W76" s="16"/>
      <c r="X76" s="51"/>
    </row>
    <row r="77" spans="3:24">
      <c r="C77" s="38"/>
      <c r="D77" s="54" t="s">
        <v>1076</v>
      </c>
      <c r="E77" s="48" t="s">
        <v>1077</v>
      </c>
      <c r="F77" s="49" t="s">
        <v>35</v>
      </c>
      <c r="G77" s="42" t="s">
        <v>35</v>
      </c>
      <c r="H77" s="50"/>
      <c r="I77" s="51"/>
      <c r="J77" s="42" t="s">
        <v>35</v>
      </c>
      <c r="K77" s="16"/>
      <c r="L77" s="51"/>
      <c r="M77" s="46" t="s">
        <v>35</v>
      </c>
      <c r="N77" s="16"/>
      <c r="O77" s="51"/>
      <c r="P77" s="46" t="s">
        <v>35</v>
      </c>
      <c r="Q77" s="16"/>
      <c r="R77" s="51"/>
      <c r="S77" s="46" t="s">
        <v>35</v>
      </c>
      <c r="T77" s="52"/>
      <c r="U77" s="53"/>
      <c r="V77" s="46" t="s">
        <v>35</v>
      </c>
      <c r="W77" s="16"/>
      <c r="X77" s="51"/>
    </row>
    <row r="78" spans="3:24">
      <c r="C78" s="38"/>
      <c r="D78" s="47" t="s">
        <v>1014</v>
      </c>
      <c r="E78" s="40" t="s">
        <v>42</v>
      </c>
      <c r="F78" s="41" t="s">
        <v>38</v>
      </c>
      <c r="G78" s="42" t="s">
        <v>38</v>
      </c>
      <c r="H78" s="43"/>
      <c r="I78" s="44"/>
      <c r="J78" s="42" t="s">
        <v>38</v>
      </c>
      <c r="K78" s="45"/>
      <c r="L78" s="44"/>
      <c r="M78" s="46" t="s">
        <v>38</v>
      </c>
      <c r="N78" s="45"/>
      <c r="O78" s="44"/>
      <c r="P78" s="46" t="s">
        <v>38</v>
      </c>
      <c r="Q78" s="45"/>
      <c r="R78" s="44"/>
      <c r="S78" s="46" t="s">
        <v>38</v>
      </c>
      <c r="T78" s="45"/>
      <c r="U78" s="44"/>
      <c r="V78" s="42" t="s">
        <v>38</v>
      </c>
      <c r="W78" s="16"/>
      <c r="X78" s="44"/>
    </row>
    <row r="79" spans="3:24">
      <c r="C79" s="38"/>
      <c r="D79" s="39" t="s">
        <v>1078</v>
      </c>
      <c r="E79" s="40" t="s">
        <v>1079</v>
      </c>
      <c r="F79" s="41" t="s">
        <v>161</v>
      </c>
      <c r="G79" s="42" t="s">
        <v>90</v>
      </c>
      <c r="H79" s="43"/>
      <c r="I79" s="44"/>
      <c r="J79" s="42" t="s">
        <v>90</v>
      </c>
      <c r="K79" s="45"/>
      <c r="L79" s="44"/>
      <c r="M79" s="42" t="s">
        <v>90</v>
      </c>
      <c r="N79" s="45"/>
      <c r="O79" s="44"/>
      <c r="P79" s="42" t="s">
        <v>90</v>
      </c>
      <c r="Q79" s="45"/>
      <c r="R79" s="44"/>
      <c r="S79" s="42" t="s">
        <v>90</v>
      </c>
      <c r="T79" s="45"/>
      <c r="U79" s="44"/>
      <c r="V79" s="42" t="s">
        <v>90</v>
      </c>
      <c r="W79" s="16"/>
      <c r="X79" s="44"/>
    </row>
    <row r="80" spans="3:24">
      <c r="C80" s="38"/>
      <c r="D80" s="47" t="s">
        <v>1080</v>
      </c>
      <c r="E80" s="48" t="s">
        <v>1081</v>
      </c>
      <c r="F80" s="49" t="s">
        <v>20</v>
      </c>
      <c r="G80" s="42" t="s">
        <v>20</v>
      </c>
      <c r="H80" s="50"/>
      <c r="I80" s="51"/>
      <c r="J80" s="42" t="s">
        <v>20</v>
      </c>
      <c r="K80" s="16"/>
      <c r="L80" s="51"/>
      <c r="M80" s="46" t="s">
        <v>20</v>
      </c>
      <c r="N80" s="16"/>
      <c r="O80" s="51"/>
      <c r="P80" s="46" t="s">
        <v>20</v>
      </c>
      <c r="Q80" s="16"/>
      <c r="R80" s="51"/>
      <c r="S80" s="46" t="s">
        <v>20</v>
      </c>
      <c r="T80" s="52"/>
      <c r="U80" s="53"/>
      <c r="V80" s="46" t="s">
        <v>20</v>
      </c>
      <c r="W80" s="16"/>
      <c r="X80" s="51"/>
    </row>
    <row r="81" spans="3:24">
      <c r="C81" s="38"/>
      <c r="D81" s="54" t="s">
        <v>1082</v>
      </c>
      <c r="E81" s="48" t="s">
        <v>1083</v>
      </c>
      <c r="F81" s="49" t="s">
        <v>35</v>
      </c>
      <c r="G81" s="42" t="s">
        <v>35</v>
      </c>
      <c r="H81" s="50"/>
      <c r="I81" s="51"/>
      <c r="J81" s="42" t="s">
        <v>35</v>
      </c>
      <c r="K81" s="16"/>
      <c r="L81" s="51"/>
      <c r="M81" s="46" t="s">
        <v>35</v>
      </c>
      <c r="N81" s="16"/>
      <c r="O81" s="51"/>
      <c r="P81" s="46" t="s">
        <v>35</v>
      </c>
      <c r="Q81" s="16"/>
      <c r="R81" s="51"/>
      <c r="S81" s="46" t="s">
        <v>35</v>
      </c>
      <c r="T81" s="52"/>
      <c r="U81" s="53"/>
      <c r="V81" s="46" t="s">
        <v>35</v>
      </c>
      <c r="W81" s="16"/>
      <c r="X81" s="51"/>
    </row>
    <row r="82" spans="3:24">
      <c r="C82" s="38"/>
      <c r="D82" s="47" t="s">
        <v>1084</v>
      </c>
      <c r="E82" s="40" t="s">
        <v>1085</v>
      </c>
      <c r="F82" s="41" t="s">
        <v>20</v>
      </c>
      <c r="G82" s="42" t="s">
        <v>20</v>
      </c>
      <c r="H82" s="43"/>
      <c r="I82" s="44"/>
      <c r="J82" s="42" t="s">
        <v>20</v>
      </c>
      <c r="K82" s="45"/>
      <c r="L82" s="44"/>
      <c r="M82" s="46" t="s">
        <v>20</v>
      </c>
      <c r="N82" s="45"/>
      <c r="O82" s="44"/>
      <c r="P82" s="46" t="s">
        <v>20</v>
      </c>
      <c r="Q82" s="45"/>
      <c r="R82" s="44"/>
      <c r="S82" s="46" t="s">
        <v>20</v>
      </c>
      <c r="T82" s="45"/>
      <c r="U82" s="44"/>
      <c r="V82" s="42" t="s">
        <v>20</v>
      </c>
      <c r="W82" s="16"/>
      <c r="X82" s="44"/>
    </row>
    <row r="83" spans="3:24">
      <c r="C83" s="38"/>
      <c r="D83" s="39" t="s">
        <v>1086</v>
      </c>
      <c r="E83" s="40" t="s">
        <v>1087</v>
      </c>
      <c r="F83" s="41" t="s">
        <v>156</v>
      </c>
      <c r="G83" s="42" t="s">
        <v>156</v>
      </c>
      <c r="H83" s="43"/>
      <c r="I83" s="44"/>
      <c r="J83" s="42" t="s">
        <v>156</v>
      </c>
      <c r="K83" s="45"/>
      <c r="L83" s="44"/>
      <c r="M83" s="42" t="s">
        <v>156</v>
      </c>
      <c r="N83" s="45"/>
      <c r="O83" s="44"/>
      <c r="P83" s="42" t="s">
        <v>156</v>
      </c>
      <c r="Q83" s="45"/>
      <c r="R83" s="44"/>
      <c r="S83" s="42" t="s">
        <v>156</v>
      </c>
      <c r="T83" s="45"/>
      <c r="U83" s="44"/>
      <c r="V83" s="42" t="s">
        <v>156</v>
      </c>
      <c r="W83" s="16"/>
      <c r="X83" s="44"/>
    </row>
    <row r="84" spans="3:24">
      <c r="C84" s="38"/>
      <c r="D84" s="47" t="s">
        <v>1088</v>
      </c>
      <c r="E84" s="48" t="s">
        <v>1089</v>
      </c>
      <c r="F84" s="49" t="s">
        <v>90</v>
      </c>
      <c r="G84" s="42" t="s">
        <v>35</v>
      </c>
      <c r="H84" s="50"/>
      <c r="I84" s="51"/>
      <c r="J84" s="42" t="s">
        <v>35</v>
      </c>
      <c r="K84" s="16"/>
      <c r="L84" s="51"/>
      <c r="M84" s="46" t="s">
        <v>35</v>
      </c>
      <c r="N84" s="16"/>
      <c r="O84" s="51"/>
      <c r="P84" s="46" t="s">
        <v>35</v>
      </c>
      <c r="Q84" s="16"/>
      <c r="R84" s="51"/>
      <c r="S84" s="46" t="s">
        <v>35</v>
      </c>
      <c r="T84" s="52"/>
      <c r="U84" s="53"/>
      <c r="V84" s="46" t="s">
        <v>35</v>
      </c>
      <c r="W84" s="16"/>
      <c r="X84" s="51"/>
    </row>
    <row r="85" spans="3:24">
      <c r="C85" s="38"/>
      <c r="D85" s="54" t="s">
        <v>1090</v>
      </c>
      <c r="E85" s="48" t="s">
        <v>1091</v>
      </c>
      <c r="F85" s="49" t="s">
        <v>38</v>
      </c>
      <c r="G85" s="42" t="s">
        <v>38</v>
      </c>
      <c r="H85" s="50"/>
      <c r="I85" s="51"/>
      <c r="J85" s="42" t="s">
        <v>578</v>
      </c>
      <c r="K85" s="16"/>
      <c r="L85" s="51"/>
      <c r="M85" s="46" t="s">
        <v>148</v>
      </c>
      <c r="N85" s="16"/>
      <c r="O85" s="51"/>
      <c r="P85" s="46" t="s">
        <v>545</v>
      </c>
      <c r="Q85" s="16"/>
      <c r="R85" s="51"/>
      <c r="S85" s="46" t="s">
        <v>516</v>
      </c>
      <c r="T85" s="52"/>
      <c r="U85" s="53"/>
      <c r="V85" s="46" t="s">
        <v>809</v>
      </c>
      <c r="W85" s="16"/>
      <c r="X85" s="51"/>
    </row>
    <row r="86" spans="3:24">
      <c r="C86" s="38"/>
      <c r="D86" s="47" t="s">
        <v>1092</v>
      </c>
      <c r="E86" s="40" t="s">
        <v>1093</v>
      </c>
      <c r="F86" s="41" t="s">
        <v>38</v>
      </c>
      <c r="G86" s="42" t="s">
        <v>38</v>
      </c>
      <c r="H86" s="43"/>
      <c r="I86" s="44"/>
      <c r="J86" s="42" t="s">
        <v>35</v>
      </c>
      <c r="K86" s="45"/>
      <c r="L86" s="44"/>
      <c r="M86" s="46" t="s">
        <v>38</v>
      </c>
      <c r="N86" s="45"/>
      <c r="O86" s="44"/>
      <c r="P86" s="46" t="s">
        <v>90</v>
      </c>
      <c r="Q86" s="45"/>
      <c r="R86" s="44"/>
      <c r="S86" s="46" t="s">
        <v>35</v>
      </c>
      <c r="T86" s="45"/>
      <c r="U86" s="44"/>
      <c r="V86" s="42" t="s">
        <v>90</v>
      </c>
      <c r="W86" s="16"/>
      <c r="X86" s="44"/>
    </row>
    <row r="87" spans="3:24">
      <c r="C87" s="38"/>
      <c r="D87" s="39" t="s">
        <v>1094</v>
      </c>
      <c r="E87" s="40" t="s">
        <v>1095</v>
      </c>
      <c r="F87" s="41" t="s">
        <v>38</v>
      </c>
      <c r="G87" s="42" t="s">
        <v>38</v>
      </c>
      <c r="H87" s="43"/>
      <c r="I87" s="44"/>
      <c r="J87" s="42" t="s">
        <v>38</v>
      </c>
      <c r="K87" s="45"/>
      <c r="L87" s="44"/>
      <c r="M87" s="46" t="s">
        <v>38</v>
      </c>
      <c r="N87" s="45"/>
      <c r="O87" s="44"/>
      <c r="P87" s="46" t="s">
        <v>38</v>
      </c>
      <c r="Q87" s="45"/>
      <c r="R87" s="44"/>
      <c r="S87" s="46" t="s">
        <v>38</v>
      </c>
      <c r="T87" s="45"/>
      <c r="U87" s="44"/>
      <c r="V87" s="42" t="s">
        <v>38</v>
      </c>
      <c r="W87" s="16"/>
      <c r="X87" s="44"/>
    </row>
    <row r="88" spans="3:24">
      <c r="C88" s="38"/>
      <c r="D88" s="47" t="s">
        <v>1096</v>
      </c>
      <c r="E88" s="48" t="s">
        <v>1097</v>
      </c>
      <c r="F88" s="49" t="s">
        <v>38</v>
      </c>
      <c r="G88" s="42" t="s">
        <v>38</v>
      </c>
      <c r="H88" s="50"/>
      <c r="I88" s="51"/>
      <c r="J88" s="42" t="s">
        <v>38</v>
      </c>
      <c r="K88" s="16"/>
      <c r="L88" s="51"/>
      <c r="M88" s="46" t="s">
        <v>38</v>
      </c>
      <c r="N88" s="16"/>
      <c r="O88" s="51"/>
      <c r="P88" s="46" t="s">
        <v>38</v>
      </c>
      <c r="Q88" s="16"/>
      <c r="R88" s="51"/>
      <c r="S88" s="46" t="s">
        <v>38</v>
      </c>
      <c r="T88" s="52"/>
      <c r="U88" s="53"/>
      <c r="V88" s="46" t="s">
        <v>38</v>
      </c>
      <c r="W88" s="16"/>
      <c r="X88" s="51"/>
    </row>
    <row r="89" spans="3:24">
      <c r="C89" s="38"/>
      <c r="D89" s="54" t="s">
        <v>1098</v>
      </c>
      <c r="E89" s="48" t="s">
        <v>1099</v>
      </c>
      <c r="F89" s="49" t="s">
        <v>802</v>
      </c>
      <c r="G89" s="42" t="s">
        <v>802</v>
      </c>
      <c r="H89" s="50"/>
      <c r="I89" s="51"/>
      <c r="J89" s="42" t="s">
        <v>830</v>
      </c>
      <c r="K89" s="16"/>
      <c r="L89" s="51"/>
      <c r="M89" s="46" t="s">
        <v>38</v>
      </c>
      <c r="N89" s="16"/>
      <c r="O89" s="51"/>
      <c r="P89" s="46" t="s">
        <v>38</v>
      </c>
      <c r="Q89" s="16"/>
      <c r="R89" s="51"/>
      <c r="S89" s="46" t="s">
        <v>830</v>
      </c>
      <c r="T89" s="52"/>
      <c r="U89" s="53"/>
      <c r="V89" s="46" t="s">
        <v>964</v>
      </c>
      <c r="W89" s="16"/>
      <c r="X89" s="51"/>
    </row>
    <row r="90" spans="3:24">
      <c r="C90" s="38"/>
      <c r="D90" s="47" t="s">
        <v>1100</v>
      </c>
      <c r="E90" s="40" t="s">
        <v>1101</v>
      </c>
      <c r="F90" s="41" t="s">
        <v>988</v>
      </c>
      <c r="G90" s="42" t="s">
        <v>988</v>
      </c>
      <c r="H90" s="43"/>
      <c r="I90" s="44"/>
      <c r="J90" s="42" t="s">
        <v>234</v>
      </c>
      <c r="K90" s="45"/>
      <c r="L90" s="44"/>
      <c r="M90" s="46" t="s">
        <v>17</v>
      </c>
      <c r="N90" s="45"/>
      <c r="O90" s="44"/>
      <c r="P90" s="46" t="s">
        <v>17</v>
      </c>
      <c r="Q90" s="45"/>
      <c r="R90" s="44"/>
      <c r="S90" s="46" t="s">
        <v>90</v>
      </c>
      <c r="T90" s="45"/>
      <c r="U90" s="44"/>
      <c r="V90" s="42" t="s">
        <v>17</v>
      </c>
      <c r="W90" s="16"/>
      <c r="X90" s="44"/>
    </row>
    <row r="91" spans="3:24">
      <c r="C91" s="38"/>
      <c r="D91" s="39" t="s">
        <v>1102</v>
      </c>
      <c r="E91" s="40" t="s">
        <v>1103</v>
      </c>
      <c r="F91" s="41" t="s">
        <v>467</v>
      </c>
      <c r="G91" s="42" t="s">
        <v>467</v>
      </c>
      <c r="H91" s="43"/>
      <c r="I91" s="44"/>
      <c r="J91" s="42" t="s">
        <v>1065</v>
      </c>
      <c r="K91" s="45"/>
      <c r="L91" s="44"/>
      <c r="M91" s="46" t="s">
        <v>539</v>
      </c>
      <c r="N91" s="45"/>
      <c r="O91" s="44"/>
      <c r="P91" s="46" t="s">
        <v>539</v>
      </c>
      <c r="Q91" s="45"/>
      <c r="R91" s="44"/>
      <c r="S91" s="46" t="s">
        <v>1104</v>
      </c>
      <c r="T91" s="45"/>
      <c r="U91" s="44"/>
      <c r="V91" s="42" t="s">
        <v>38</v>
      </c>
      <c r="W91" s="16"/>
      <c r="X91" s="44"/>
    </row>
    <row r="92" spans="3:24">
      <c r="C92" s="38"/>
      <c r="D92" s="47" t="s">
        <v>1105</v>
      </c>
      <c r="E92" s="48" t="s">
        <v>1106</v>
      </c>
      <c r="F92" s="49" t="s">
        <v>234</v>
      </c>
      <c r="G92" s="42" t="s">
        <v>234</v>
      </c>
      <c r="H92" s="50"/>
      <c r="I92" s="51"/>
      <c r="J92" s="42" t="s">
        <v>161</v>
      </c>
      <c r="K92" s="16"/>
      <c r="L92" s="51"/>
      <c r="M92" s="46" t="s">
        <v>90</v>
      </c>
      <c r="N92" s="16"/>
      <c r="O92" s="51"/>
      <c r="P92" s="46" t="s">
        <v>90</v>
      </c>
      <c r="Q92" s="16"/>
      <c r="R92" s="51"/>
      <c r="S92" s="46" t="s">
        <v>35</v>
      </c>
      <c r="T92" s="52"/>
      <c r="U92" s="53"/>
      <c r="V92" s="46" t="s">
        <v>220</v>
      </c>
      <c r="W92" s="16"/>
      <c r="X92" s="51"/>
    </row>
    <row r="93" spans="3:24">
      <c r="C93" s="38"/>
      <c r="D93" s="54" t="s">
        <v>1107</v>
      </c>
      <c r="E93" s="48" t="s">
        <v>1108</v>
      </c>
      <c r="F93" s="49" t="s">
        <v>225</v>
      </c>
      <c r="G93" s="42" t="s">
        <v>802</v>
      </c>
      <c r="H93" s="50"/>
      <c r="I93" s="51"/>
      <c r="J93" s="42" t="s">
        <v>830</v>
      </c>
      <c r="K93" s="16"/>
      <c r="L93" s="51"/>
      <c r="M93" s="46" t="s">
        <v>38</v>
      </c>
      <c r="N93" s="16"/>
      <c r="O93" s="51"/>
      <c r="P93" s="46" t="s">
        <v>38</v>
      </c>
      <c r="Q93" s="16"/>
      <c r="R93" s="51"/>
      <c r="S93" s="46" t="s">
        <v>830</v>
      </c>
      <c r="T93" s="52"/>
      <c r="U93" s="53"/>
      <c r="V93" s="46" t="s">
        <v>964</v>
      </c>
      <c r="W93" s="16"/>
      <c r="X93" s="51"/>
    </row>
    <row r="94" spans="3:24">
      <c r="C94" s="38"/>
      <c r="D94" s="47" t="s">
        <v>1109</v>
      </c>
      <c r="E94" s="40" t="s">
        <v>1110</v>
      </c>
      <c r="F94" s="41" t="s">
        <v>988</v>
      </c>
      <c r="G94" s="42" t="s">
        <v>988</v>
      </c>
      <c r="H94" s="43"/>
      <c r="I94" s="44"/>
      <c r="J94" s="42" t="s">
        <v>234</v>
      </c>
      <c r="K94" s="45"/>
      <c r="L94" s="44"/>
      <c r="M94" s="46" t="s">
        <v>17</v>
      </c>
      <c r="N94" s="45"/>
      <c r="O94" s="44"/>
      <c r="P94" s="46" t="s">
        <v>17</v>
      </c>
      <c r="Q94" s="45"/>
      <c r="R94" s="44"/>
      <c r="S94" s="46" t="s">
        <v>90</v>
      </c>
      <c r="T94" s="45"/>
      <c r="U94" s="44"/>
      <c r="V94" s="42" t="s">
        <v>17</v>
      </c>
      <c r="W94" s="16"/>
      <c r="X94" s="44"/>
    </row>
    <row r="95" spans="3:24">
      <c r="C95" s="38"/>
      <c r="D95" s="39" t="s">
        <v>1111</v>
      </c>
      <c r="E95" s="40" t="s">
        <v>1112</v>
      </c>
      <c r="F95" s="41" t="s">
        <v>1113</v>
      </c>
      <c r="G95" s="42" t="s">
        <v>467</v>
      </c>
      <c r="H95" s="43"/>
      <c r="I95" s="44"/>
      <c r="J95" s="42" t="s">
        <v>1065</v>
      </c>
      <c r="K95" s="45"/>
      <c r="L95" s="44"/>
      <c r="M95" s="46" t="s">
        <v>539</v>
      </c>
      <c r="N95" s="45"/>
      <c r="O95" s="44"/>
      <c r="P95" s="46" t="s">
        <v>539</v>
      </c>
      <c r="Q95" s="45"/>
      <c r="R95" s="44"/>
      <c r="S95" s="46" t="s">
        <v>1104</v>
      </c>
      <c r="T95" s="45"/>
      <c r="U95" s="44"/>
      <c r="V95" s="42" t="s">
        <v>38</v>
      </c>
      <c r="W95" s="16"/>
      <c r="X95" s="44"/>
    </row>
    <row r="96" spans="3:24">
      <c r="C96" s="38"/>
      <c r="D96" s="47" t="s">
        <v>1114</v>
      </c>
      <c r="E96" s="48" t="s">
        <v>1115</v>
      </c>
      <c r="F96" s="49" t="s">
        <v>234</v>
      </c>
      <c r="G96" s="42" t="s">
        <v>234</v>
      </c>
      <c r="H96" s="50"/>
      <c r="I96" s="51"/>
      <c r="J96" s="42" t="s">
        <v>161</v>
      </c>
      <c r="K96" s="16"/>
      <c r="L96" s="51"/>
      <c r="M96" s="46" t="s">
        <v>90</v>
      </c>
      <c r="N96" s="16"/>
      <c r="O96" s="51"/>
      <c r="P96" s="46" t="s">
        <v>90</v>
      </c>
      <c r="Q96" s="16"/>
      <c r="R96" s="51"/>
      <c r="S96" s="46" t="s">
        <v>35</v>
      </c>
      <c r="T96" s="52"/>
      <c r="U96" s="53"/>
      <c r="V96" s="46" t="s">
        <v>220</v>
      </c>
      <c r="W96" s="16"/>
      <c r="X96" s="51"/>
    </row>
    <row r="97" spans="3:24">
      <c r="C97" s="38"/>
      <c r="D97" s="54" t="s">
        <v>1116</v>
      </c>
      <c r="E97" s="48" t="s">
        <v>1117</v>
      </c>
      <c r="F97" s="49" t="s">
        <v>38</v>
      </c>
      <c r="G97" s="42" t="s">
        <v>35</v>
      </c>
      <c r="H97" s="50"/>
      <c r="I97" s="51"/>
      <c r="J97" s="42" t="s">
        <v>35</v>
      </c>
      <c r="K97" s="16"/>
      <c r="L97" s="51"/>
      <c r="M97" s="46" t="s">
        <v>35</v>
      </c>
      <c r="N97" s="16"/>
      <c r="O97" s="51"/>
      <c r="P97" s="46" t="s">
        <v>35</v>
      </c>
      <c r="Q97" s="16"/>
      <c r="R97" s="51"/>
      <c r="S97" s="46" t="s">
        <v>35</v>
      </c>
      <c r="T97" s="52"/>
      <c r="U97" s="53"/>
      <c r="V97" s="46" t="s">
        <v>35</v>
      </c>
      <c r="W97" s="16"/>
      <c r="X97" s="51"/>
    </row>
    <row r="98" spans="3:24">
      <c r="C98" s="55"/>
      <c r="D98" s="47" t="s">
        <v>1118</v>
      </c>
      <c r="E98" s="40" t="s">
        <v>1119</v>
      </c>
      <c r="F98" s="41" t="s">
        <v>38</v>
      </c>
      <c r="G98" s="42" t="s">
        <v>35</v>
      </c>
      <c r="H98" s="43"/>
      <c r="I98" s="44"/>
      <c r="J98" s="42" t="s">
        <v>35</v>
      </c>
      <c r="K98" s="45"/>
      <c r="L98" s="44"/>
      <c r="M98" s="46" t="s">
        <v>35</v>
      </c>
      <c r="N98" s="45"/>
      <c r="O98" s="44"/>
      <c r="P98" s="46" t="s">
        <v>35</v>
      </c>
      <c r="Q98" s="45"/>
      <c r="R98" s="44"/>
      <c r="S98" s="46" t="s">
        <v>35</v>
      </c>
      <c r="T98" s="45"/>
      <c r="U98" s="44"/>
      <c r="V98" s="42" t="s">
        <v>35</v>
      </c>
      <c r="W98" s="16"/>
      <c r="X98" s="44"/>
    </row>
  </sheetData>
  <conditionalFormatting sqref="D41">
    <cfRule type="expression" dxfId="1" priority="131">
      <formula>MOD(ROW(),2)=0</formula>
    </cfRule>
    <cfRule type="expression" dxfId="1" priority="132">
      <formula>MOD(_xleta.ROW,2)=0</formula>
    </cfRule>
  </conditionalFormatting>
  <conditionalFormatting sqref="D43">
    <cfRule type="expression" dxfId="1" priority="129">
      <formula>MOD(ROW(),2)=0</formula>
    </cfRule>
    <cfRule type="expression" dxfId="1" priority="130">
      <formula>MOD(_xleta.ROW,2)=0</formula>
    </cfRule>
  </conditionalFormatting>
  <conditionalFormatting sqref="D50">
    <cfRule type="expression" dxfId="1" priority="125">
      <formula>MOD(ROW(),2)=0</formula>
    </cfRule>
    <cfRule type="expression" dxfId="1" priority="126">
      <formula>MOD(_xleta.ROW,2)=0</formula>
    </cfRule>
  </conditionalFormatting>
  <conditionalFormatting sqref="D61">
    <cfRule type="expression" dxfId="1" priority="42">
      <formula>MOD(ROW(),2)=0</formula>
    </cfRule>
    <cfRule type="expression" dxfId="1" priority="52">
      <formula>MOD(_xleta.ROW,2)=0</formula>
    </cfRule>
  </conditionalFormatting>
  <conditionalFormatting sqref="D65">
    <cfRule type="expression" dxfId="1" priority="41">
      <formula>MOD(ROW(),2)=0</formula>
    </cfRule>
    <cfRule type="expression" dxfId="1" priority="51">
      <formula>MOD(_xleta.ROW,2)=0</formula>
    </cfRule>
  </conditionalFormatting>
  <conditionalFormatting sqref="D69">
    <cfRule type="expression" dxfId="1" priority="40">
      <formula>MOD(ROW(),2)=0</formula>
    </cfRule>
    <cfRule type="expression" dxfId="1" priority="50">
      <formula>MOD(_xleta.ROW,2)=0</formula>
    </cfRule>
  </conditionalFormatting>
  <conditionalFormatting sqref="D73">
    <cfRule type="expression" dxfId="1" priority="39">
      <formula>MOD(ROW(),2)=0</formula>
    </cfRule>
    <cfRule type="expression" dxfId="1" priority="49">
      <formula>MOD(_xleta.ROW,2)=0</formula>
    </cfRule>
  </conditionalFormatting>
  <conditionalFormatting sqref="F75">
    <cfRule type="expression" dxfId="1" priority="1">
      <formula>MOD(ROW(),2)=0</formula>
    </cfRule>
    <cfRule type="expression" dxfId="1" priority="2">
      <formula>MOD(_xleta.ROW,2)=0</formula>
    </cfRule>
  </conditionalFormatting>
  <conditionalFormatting sqref="J76">
    <cfRule type="expression" dxfId="1" priority="11">
      <formula>MOD(ROW(),2)=0</formula>
    </cfRule>
    <cfRule type="expression" dxfId="1" priority="12">
      <formula>MOD(_xleta.ROW,2)=0</formula>
    </cfRule>
  </conditionalFormatting>
  <conditionalFormatting sqref="M76">
    <cfRule type="expression" dxfId="1" priority="9">
      <formula>MOD(ROW(),2)=0</formula>
    </cfRule>
    <cfRule type="expression" dxfId="1" priority="10">
      <formula>MOD(_xleta.ROW,2)=0</formula>
    </cfRule>
  </conditionalFormatting>
  <conditionalFormatting sqref="P76">
    <cfRule type="expression" dxfId="1" priority="7">
      <formula>MOD(ROW(),2)=0</formula>
    </cfRule>
    <cfRule type="expression" dxfId="1" priority="8">
      <formula>MOD(_xleta.ROW,2)=0</formula>
    </cfRule>
  </conditionalFormatting>
  <conditionalFormatting sqref="S76">
    <cfRule type="expression" dxfId="1" priority="5">
      <formula>MOD(ROW(),2)=0</formula>
    </cfRule>
    <cfRule type="expression" dxfId="1" priority="6">
      <formula>MOD(_xleta.ROW,2)=0</formula>
    </cfRule>
  </conditionalFormatting>
  <conditionalFormatting sqref="V76">
    <cfRule type="expression" dxfId="1" priority="3">
      <formula>MOD(ROW(),2)=0</formula>
    </cfRule>
    <cfRule type="expression" dxfId="1" priority="4">
      <formula>MOD(_xleta.ROW,2)=0</formula>
    </cfRule>
  </conditionalFormatting>
  <conditionalFormatting sqref="D77">
    <cfRule type="expression" dxfId="1" priority="38">
      <formula>MOD(ROW(),2)=0</formula>
    </cfRule>
    <cfRule type="expression" dxfId="1" priority="48">
      <formula>MOD(_xleta.ROW,2)=0</formula>
    </cfRule>
  </conditionalFormatting>
  <conditionalFormatting sqref="J79">
    <cfRule type="expression" dxfId="1" priority="31">
      <formula>MOD(ROW(),2)=0</formula>
    </cfRule>
    <cfRule type="expression" dxfId="1" priority="32">
      <formula>MOD(_xleta.ROW,2)=0</formula>
    </cfRule>
  </conditionalFormatting>
  <conditionalFormatting sqref="M79">
    <cfRule type="expression" dxfId="1" priority="29">
      <formula>MOD(ROW(),2)=0</formula>
    </cfRule>
    <cfRule type="expression" dxfId="1" priority="30">
      <formula>MOD(_xleta.ROW,2)=0</formula>
    </cfRule>
  </conditionalFormatting>
  <conditionalFormatting sqref="P79">
    <cfRule type="expression" dxfId="1" priority="27">
      <formula>MOD(ROW(),2)=0</formula>
    </cfRule>
    <cfRule type="expression" dxfId="1" priority="28">
      <formula>MOD(_xleta.ROW,2)=0</formula>
    </cfRule>
  </conditionalFormatting>
  <conditionalFormatting sqref="S79">
    <cfRule type="expression" dxfId="1" priority="25">
      <formula>MOD(ROW(),2)=0</formula>
    </cfRule>
    <cfRule type="expression" dxfId="1" priority="26">
      <formula>MOD(_xleta.ROW,2)=0</formula>
    </cfRule>
  </conditionalFormatting>
  <conditionalFormatting sqref="V79">
    <cfRule type="expression" dxfId="1" priority="23">
      <formula>MOD(ROW(),2)=0</formula>
    </cfRule>
    <cfRule type="expression" dxfId="1" priority="24">
      <formula>MOD(_xleta.ROW,2)=0</formula>
    </cfRule>
  </conditionalFormatting>
  <conditionalFormatting sqref="D81">
    <cfRule type="expression" dxfId="1" priority="37">
      <formula>MOD(ROW(),2)=0</formula>
    </cfRule>
    <cfRule type="expression" dxfId="1" priority="47">
      <formula>MOD(_xleta.ROW,2)=0</formula>
    </cfRule>
  </conditionalFormatting>
  <conditionalFormatting sqref="J83">
    <cfRule type="expression" dxfId="1" priority="21">
      <formula>MOD(ROW(),2)=0</formula>
    </cfRule>
    <cfRule type="expression" dxfId="1" priority="22">
      <formula>MOD(_xleta.ROW,2)=0</formula>
    </cfRule>
  </conditionalFormatting>
  <conditionalFormatting sqref="M83">
    <cfRule type="expression" dxfId="1" priority="19">
      <formula>MOD(ROW(),2)=0</formula>
    </cfRule>
    <cfRule type="expression" dxfId="1" priority="20">
      <formula>MOD(_xleta.ROW,2)=0</formula>
    </cfRule>
  </conditionalFormatting>
  <conditionalFormatting sqref="P83">
    <cfRule type="expression" dxfId="1" priority="17">
      <formula>MOD(ROW(),2)=0</formula>
    </cfRule>
    <cfRule type="expression" dxfId="1" priority="18">
      <formula>MOD(_xleta.ROW,2)=0</formula>
    </cfRule>
  </conditionalFormatting>
  <conditionalFormatting sqref="S83">
    <cfRule type="expression" dxfId="1" priority="15">
      <formula>MOD(ROW(),2)=0</formula>
    </cfRule>
    <cfRule type="expression" dxfId="1" priority="16">
      <formula>MOD(_xleta.ROW,2)=0</formula>
    </cfRule>
  </conditionalFormatting>
  <conditionalFormatting sqref="V83">
    <cfRule type="expression" dxfId="1" priority="13">
      <formula>MOD(ROW(),2)=0</formula>
    </cfRule>
    <cfRule type="expression" dxfId="1" priority="14">
      <formula>MOD(_xleta.ROW,2)=0</formula>
    </cfRule>
  </conditionalFormatting>
  <conditionalFormatting sqref="D85">
    <cfRule type="expression" dxfId="1" priority="36">
      <formula>MOD(ROW(),2)=0</formula>
    </cfRule>
    <cfRule type="expression" dxfId="1" priority="46">
      <formula>MOD(_xleta.ROW,2)=0</formula>
    </cfRule>
  </conditionalFormatting>
  <conditionalFormatting sqref="D89">
    <cfRule type="expression" dxfId="1" priority="35">
      <formula>MOD(ROW(),2)=0</formula>
    </cfRule>
    <cfRule type="expression" dxfId="1" priority="45">
      <formula>MOD(_xleta.ROW,2)=0</formula>
    </cfRule>
  </conditionalFormatting>
  <conditionalFormatting sqref="D93">
    <cfRule type="expression" dxfId="1" priority="34">
      <formula>MOD(ROW(),2)=0</formula>
    </cfRule>
    <cfRule type="expression" dxfId="1" priority="44">
      <formula>MOD(_xleta.ROW,2)=0</formula>
    </cfRule>
  </conditionalFormatting>
  <conditionalFormatting sqref="D97">
    <cfRule type="expression" dxfId="1" priority="33">
      <formula>MOD(ROW(),2)=0</formula>
    </cfRule>
    <cfRule type="expression" dxfId="1" priority="43">
      <formula>MOD(_xleta.ROW,2)=0</formula>
    </cfRule>
  </conditionalFormatting>
  <conditionalFormatting sqref="D34:D38">
    <cfRule type="expression" dxfId="1" priority="139">
      <formula>MOD(ROW(),2)=0</formula>
    </cfRule>
    <cfRule type="expression" dxfId="1" priority="140">
      <formula>MOD(_xleta.ROW,2)=0</formula>
    </cfRule>
  </conditionalFormatting>
  <conditionalFormatting sqref="D44:D49">
    <cfRule type="expression" dxfId="1" priority="127">
      <formula>MOD(ROW(),2)=0</formula>
    </cfRule>
    <cfRule type="expression" dxfId="1" priority="128">
      <formula>MOD(_xleta.ROW,2)=0</formula>
    </cfRule>
  </conditionalFormatting>
  <conditionalFormatting sqref="F24:F29">
    <cfRule type="expression" dxfId="1" priority="147">
      <formula>MOD(ROW(),2)=0</formula>
    </cfRule>
    <cfRule type="expression" dxfId="1" priority="148">
      <formula>MOD(_xleta.ROW,2)=0</formula>
    </cfRule>
  </conditionalFormatting>
  <conditionalFormatting sqref="D21:D33 D39:D40 D42 D51:D58">
    <cfRule type="expression" dxfId="1" priority="149">
      <formula>MOD(ROW(),2)=0</formula>
    </cfRule>
    <cfRule type="expression" dxfId="1" priority="150">
      <formula>MOD(_xleta.ROW,2)=0</formula>
    </cfRule>
  </conditionalFormatting>
  <conditionalFormatting sqref="E21:I23 J21:X58">
    <cfRule type="expression" dxfId="1" priority="314">
      <formula>MOD(ROW(),2)=0</formula>
    </cfRule>
    <cfRule type="expression" dxfId="1" priority="315">
      <formula>MOD(_xleta.ROW,2)=0</formula>
    </cfRule>
  </conditionalFormatting>
  <conditionalFormatting sqref="E30:I58 E24:E29 G24:I29">
    <cfRule type="expression" dxfId="1" priority="153">
      <formula>MOD(ROW(),2)=0</formula>
    </cfRule>
    <cfRule type="expression" dxfId="1" priority="154">
      <formula>MOD(_xleta.ROW,2)=0</formula>
    </cfRule>
  </conditionalFormatting>
  <conditionalFormatting sqref="D62 D59:D60">
    <cfRule type="expression" dxfId="1" priority="63">
      <formula>MOD(ROW(),2)=0</formula>
    </cfRule>
    <cfRule type="expression" dxfId="1" priority="74">
      <formula>MOD(_xleta.ROW,2)=0</formula>
    </cfRule>
  </conditionalFormatting>
  <conditionalFormatting sqref="E59:I62">
    <cfRule type="expression" dxfId="1" priority="85">
      <formula>MOD(ROW(),2)=0</formula>
    </cfRule>
    <cfRule type="expression" dxfId="1" priority="96">
      <formula>MOD(_xleta.ROW,2)=0</formula>
    </cfRule>
  </conditionalFormatting>
  <conditionalFormatting sqref="J59:X62">
    <cfRule type="expression" dxfId="1" priority="107">
      <formula>MOD(ROW(),2)=0</formula>
    </cfRule>
    <cfRule type="expression" dxfId="1" priority="118">
      <formula>MOD(_xleta.ROW,2)=0</formula>
    </cfRule>
  </conditionalFormatting>
  <conditionalFormatting sqref="D66 D63:D64">
    <cfRule type="expression" dxfId="1" priority="62">
      <formula>MOD(ROW(),2)=0</formula>
    </cfRule>
    <cfRule type="expression" dxfId="1" priority="73">
      <formula>MOD(_xleta.ROW,2)=0</formula>
    </cfRule>
  </conditionalFormatting>
  <conditionalFormatting sqref="E63:I66">
    <cfRule type="expression" dxfId="1" priority="84">
      <formula>MOD(ROW(),2)=0</formula>
    </cfRule>
    <cfRule type="expression" dxfId="1" priority="95">
      <formula>MOD(_xleta.ROW,2)=0</formula>
    </cfRule>
  </conditionalFormatting>
  <conditionalFormatting sqref="J63:X66">
    <cfRule type="expression" dxfId="1" priority="106">
      <formula>MOD(ROW(),2)=0</formula>
    </cfRule>
    <cfRule type="expression" dxfId="1" priority="117">
      <formula>MOD(_xleta.ROW,2)=0</formula>
    </cfRule>
  </conditionalFormatting>
  <conditionalFormatting sqref="D70 D67:D68">
    <cfRule type="expression" dxfId="1" priority="61">
      <formula>MOD(ROW(),2)=0</formula>
    </cfRule>
    <cfRule type="expression" dxfId="1" priority="72">
      <formula>MOD(_xleta.ROW,2)=0</formula>
    </cfRule>
  </conditionalFormatting>
  <conditionalFormatting sqref="E67:I70">
    <cfRule type="expression" dxfId="1" priority="83">
      <formula>MOD(ROW(),2)=0</formula>
    </cfRule>
    <cfRule type="expression" dxfId="1" priority="94">
      <formula>MOD(_xleta.ROW,2)=0</formula>
    </cfRule>
  </conditionalFormatting>
  <conditionalFormatting sqref="J67:X70">
    <cfRule type="expression" dxfId="1" priority="105">
      <formula>MOD(ROW(),2)=0</formula>
    </cfRule>
    <cfRule type="expression" dxfId="1" priority="116">
      <formula>MOD(_xleta.ROW,2)=0</formula>
    </cfRule>
  </conditionalFormatting>
  <conditionalFormatting sqref="D74 D71:D72">
    <cfRule type="expression" dxfId="1" priority="60">
      <formula>MOD(ROW(),2)=0</formula>
    </cfRule>
    <cfRule type="expression" dxfId="1" priority="71">
      <formula>MOD(_xleta.ROW,2)=0</formula>
    </cfRule>
  </conditionalFormatting>
  <conditionalFormatting sqref="E71:I74">
    <cfRule type="expression" dxfId="1" priority="82">
      <formula>MOD(ROW(),2)=0</formula>
    </cfRule>
    <cfRule type="expression" dxfId="1" priority="93">
      <formula>MOD(_xleta.ROW,2)=0</formula>
    </cfRule>
  </conditionalFormatting>
  <conditionalFormatting sqref="J71:X74">
    <cfRule type="expression" dxfId="1" priority="104">
      <formula>MOD(ROW(),2)=0</formula>
    </cfRule>
    <cfRule type="expression" dxfId="1" priority="115">
      <formula>MOD(_xleta.ROW,2)=0</formula>
    </cfRule>
  </conditionalFormatting>
  <conditionalFormatting sqref="D78 D75:D76">
    <cfRule type="expression" dxfId="1" priority="59">
      <formula>MOD(ROW(),2)=0</formula>
    </cfRule>
    <cfRule type="expression" dxfId="1" priority="70">
      <formula>MOD(_xleta.ROW,2)=0</formula>
    </cfRule>
  </conditionalFormatting>
  <conditionalFormatting sqref="E75 E76:I78 G75:I75">
    <cfRule type="expression" dxfId="1" priority="81">
      <formula>MOD(ROW(),2)=0</formula>
    </cfRule>
    <cfRule type="expression" dxfId="1" priority="92">
      <formula>MOD(_xleta.ROW,2)=0</formula>
    </cfRule>
  </conditionalFormatting>
  <conditionalFormatting sqref="J75:X75 J77:X78 W76:X76 T76:U76 Q76:R76 N76:O76 K76:L76">
    <cfRule type="expression" dxfId="1" priority="103">
      <formula>MOD(ROW(),2)=0</formula>
    </cfRule>
    <cfRule type="expression" dxfId="1" priority="114">
      <formula>MOD(_xleta.ROW,2)=0</formula>
    </cfRule>
  </conditionalFormatting>
  <conditionalFormatting sqref="D82 D79:D80">
    <cfRule type="expression" dxfId="1" priority="58">
      <formula>MOD(ROW(),2)=0</formula>
    </cfRule>
    <cfRule type="expression" dxfId="1" priority="69">
      <formula>MOD(_xleta.ROW,2)=0</formula>
    </cfRule>
  </conditionalFormatting>
  <conditionalFormatting sqref="E79:I82">
    <cfRule type="expression" dxfId="1" priority="80">
      <formula>MOD(ROW(),2)=0</formula>
    </cfRule>
    <cfRule type="expression" dxfId="1" priority="91">
      <formula>MOD(_xleta.ROW,2)=0</formula>
    </cfRule>
  </conditionalFormatting>
  <conditionalFormatting sqref="K79:L79 J80:X82 W79:X79 T79:U79 Q79:R79 N79:O79">
    <cfRule type="expression" dxfId="1" priority="102">
      <formula>MOD(ROW(),2)=0</formula>
    </cfRule>
    <cfRule type="expression" dxfId="1" priority="113">
      <formula>MOD(_xleta.ROW,2)=0</formula>
    </cfRule>
  </conditionalFormatting>
  <conditionalFormatting sqref="D86 D83:D84">
    <cfRule type="expression" dxfId="1" priority="57">
      <formula>MOD(ROW(),2)=0</formula>
    </cfRule>
    <cfRule type="expression" dxfId="1" priority="68">
      <formula>MOD(_xleta.ROW,2)=0</formula>
    </cfRule>
  </conditionalFormatting>
  <conditionalFormatting sqref="E83:I86">
    <cfRule type="expression" dxfId="1" priority="79">
      <formula>MOD(ROW(),2)=0</formula>
    </cfRule>
    <cfRule type="expression" dxfId="1" priority="90">
      <formula>MOD(_xleta.ROW,2)=0</formula>
    </cfRule>
  </conditionalFormatting>
  <conditionalFormatting sqref="K83:L83 J84:X86 W83:X83 T83:U83 Q83:R83 N83:O83">
    <cfRule type="expression" dxfId="1" priority="101">
      <formula>MOD(ROW(),2)=0</formula>
    </cfRule>
    <cfRule type="expression" dxfId="1" priority="112">
      <formula>MOD(_xleta.ROW,2)=0</formula>
    </cfRule>
  </conditionalFormatting>
  <conditionalFormatting sqref="D90 D87:D88">
    <cfRule type="expression" dxfId="1" priority="56">
      <formula>MOD(ROW(),2)=0</formula>
    </cfRule>
    <cfRule type="expression" dxfId="1" priority="67">
      <formula>MOD(_xleta.ROW,2)=0</formula>
    </cfRule>
  </conditionalFormatting>
  <conditionalFormatting sqref="E87:I90">
    <cfRule type="expression" dxfId="1" priority="78">
      <formula>MOD(ROW(),2)=0</formula>
    </cfRule>
    <cfRule type="expression" dxfId="1" priority="89">
      <formula>MOD(_xleta.ROW,2)=0</formula>
    </cfRule>
  </conditionalFormatting>
  <conditionalFormatting sqref="J87:X90">
    <cfRule type="expression" dxfId="1" priority="100">
      <formula>MOD(ROW(),2)=0</formula>
    </cfRule>
    <cfRule type="expression" dxfId="1" priority="111">
      <formula>MOD(_xleta.ROW,2)=0</formula>
    </cfRule>
  </conditionalFormatting>
  <conditionalFormatting sqref="D94 D91:D92">
    <cfRule type="expression" dxfId="1" priority="55">
      <formula>MOD(ROW(),2)=0</formula>
    </cfRule>
    <cfRule type="expression" dxfId="1" priority="66">
      <formula>MOD(_xleta.ROW,2)=0</formula>
    </cfRule>
  </conditionalFormatting>
  <conditionalFormatting sqref="E91:I94">
    <cfRule type="expression" dxfId="1" priority="77">
      <formula>MOD(ROW(),2)=0</formula>
    </cfRule>
    <cfRule type="expression" dxfId="1" priority="88">
      <formula>MOD(_xleta.ROW,2)=0</formula>
    </cfRule>
  </conditionalFormatting>
  <conditionalFormatting sqref="J91:X94">
    <cfRule type="expression" dxfId="1" priority="99">
      <formula>MOD(ROW(),2)=0</formula>
    </cfRule>
    <cfRule type="expression" dxfId="1" priority="110">
      <formula>MOD(_xleta.ROW,2)=0</formula>
    </cfRule>
  </conditionalFormatting>
  <conditionalFormatting sqref="D98 D95:D96">
    <cfRule type="expression" dxfId="1" priority="54">
      <formula>MOD(ROW(),2)=0</formula>
    </cfRule>
    <cfRule type="expression" dxfId="1" priority="65">
      <formula>MOD(_xleta.ROW,2)=0</formula>
    </cfRule>
  </conditionalFormatting>
  <conditionalFormatting sqref="E95:I98">
    <cfRule type="expression" dxfId="1" priority="76">
      <formula>MOD(ROW(),2)=0</formula>
    </cfRule>
    <cfRule type="expression" dxfId="1" priority="87">
      <formula>MOD(_xleta.ROW,2)=0</formula>
    </cfRule>
  </conditionalFormatting>
  <conditionalFormatting sqref="J95:X98">
    <cfRule type="expression" dxfId="1" priority="98">
      <formula>MOD(ROW(),2)=0</formula>
    </cfRule>
    <cfRule type="expression" dxfId="1" priority="109">
      <formula>MOD(_xleta.ROW,2)=0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O98"/>
  <sheetViews>
    <sheetView zoomScale="85" zoomScaleNormal="85" topLeftCell="B12" workbookViewId="0">
      <selection activeCell="G9" sqref="G9:G10"/>
    </sheetView>
  </sheetViews>
  <sheetFormatPr defaultColWidth="9" defaultRowHeight="14.5"/>
  <cols>
    <col min="1" max="2" width="21.1333333333333" style="1" customWidth="1"/>
    <col min="3" max="3" width="23.1333333333333" style="1" customWidth="1"/>
    <col min="4" max="4" width="34.5" style="1" customWidth="1"/>
    <col min="5" max="5" width="15.5" style="1" customWidth="1"/>
    <col min="6" max="6" width="16.6333333333333" style="2" customWidth="1"/>
    <col min="7" max="7" width="13.25" style="1" customWidth="1" outlineLevel="7"/>
    <col min="8" max="8" width="11.75" style="1" customWidth="1" outlineLevel="7"/>
    <col min="9" max="9" width="20.1333333333333" style="1" customWidth="1" outlineLevel="7"/>
    <col min="10" max="10" width="11.1333333333333" style="1" customWidth="1" outlineLevel="7"/>
    <col min="11" max="11" width="11.25" style="1" customWidth="1" outlineLevel="7"/>
    <col min="12" max="12" width="19.6333333333333" style="1" customWidth="1" outlineLevel="7"/>
    <col min="13" max="13" width="11.1333333333333" style="1" customWidth="1" outlineLevel="5"/>
    <col min="14" max="14" width="11.25" style="1" customWidth="1" outlineLevel="5"/>
    <col min="15" max="15" width="21.6333333333333" style="1" customWidth="1" outlineLevel="5"/>
    <col min="16" max="16384" width="9" style="1"/>
  </cols>
  <sheetData>
    <row r="3" ht="26.25" customHeight="1" spans="3:15">
      <c r="C3" s="3" t="s">
        <v>2</v>
      </c>
      <c r="D3" s="4" t="s">
        <v>115</v>
      </c>
      <c r="E3" s="4"/>
      <c r="F3" s="4"/>
      <c r="G3" s="4"/>
      <c r="H3" s="4"/>
      <c r="I3" s="5"/>
      <c r="J3" s="4"/>
      <c r="K3" s="4"/>
      <c r="L3" s="4"/>
      <c r="M3" s="4"/>
      <c r="N3" s="4"/>
      <c r="O3" s="4"/>
    </row>
    <row r="4" ht="26.25" customHeight="1" spans="3:15">
      <c r="C4" s="6"/>
      <c r="D4" s="7" t="s">
        <v>116</v>
      </c>
      <c r="E4" s="6"/>
      <c r="F4" s="7"/>
      <c r="G4" s="6"/>
      <c r="H4" s="6"/>
      <c r="I4" s="8"/>
      <c r="J4" s="9"/>
      <c r="K4" s="6"/>
      <c r="L4" s="6"/>
      <c r="M4" s="6"/>
      <c r="N4" s="6"/>
      <c r="O4" s="6"/>
    </row>
    <row r="5" ht="21" customHeight="1" spans="3:15">
      <c r="C5" s="10"/>
      <c r="D5" s="11"/>
      <c r="E5" s="11"/>
      <c r="F5" s="12" t="s">
        <v>117</v>
      </c>
      <c r="G5" s="56" t="s">
        <v>1120</v>
      </c>
      <c r="H5" s="56"/>
      <c r="I5" s="57"/>
      <c r="J5" s="56" t="s">
        <v>1121</v>
      </c>
      <c r="K5" s="56"/>
      <c r="L5" s="57"/>
      <c r="M5" s="56" t="s">
        <v>1122</v>
      </c>
      <c r="N5" s="56"/>
      <c r="O5" s="57"/>
    </row>
    <row r="6" ht="18" customHeight="1" spans="3:15">
      <c r="C6" s="16"/>
      <c r="D6" s="16"/>
      <c r="E6" s="16"/>
      <c r="F6" s="25" t="s">
        <v>922</v>
      </c>
      <c r="G6" s="26" t="s">
        <v>923</v>
      </c>
      <c r="H6" s="116" t="s">
        <v>924</v>
      </c>
      <c r="I6" s="28"/>
      <c r="J6" s="26" t="s">
        <v>1123</v>
      </c>
      <c r="K6" s="116" t="s">
        <v>924</v>
      </c>
      <c r="L6" s="28"/>
      <c r="M6" s="26" t="s">
        <v>1124</v>
      </c>
      <c r="N6" s="116" t="s">
        <v>924</v>
      </c>
      <c r="O6" s="28"/>
    </row>
    <row r="7" ht="18" customHeight="1" spans="3:15">
      <c r="C7" s="16"/>
      <c r="D7" s="16"/>
      <c r="E7" s="16"/>
      <c r="F7" s="25" t="s">
        <v>929</v>
      </c>
      <c r="G7" s="26">
        <v>15</v>
      </c>
      <c r="H7" s="27" t="s">
        <v>930</v>
      </c>
      <c r="I7" s="28"/>
      <c r="J7" s="26">
        <v>15</v>
      </c>
      <c r="K7" s="27" t="s">
        <v>930</v>
      </c>
      <c r="L7" s="28"/>
      <c r="M7" s="26">
        <v>30</v>
      </c>
      <c r="N7" s="27" t="s">
        <v>930</v>
      </c>
      <c r="O7" s="28"/>
    </row>
    <row r="8" ht="18" customHeight="1" spans="3:15">
      <c r="C8" s="16"/>
      <c r="D8" s="16"/>
      <c r="E8" s="16"/>
      <c r="F8" s="25" t="s">
        <v>931</v>
      </c>
      <c r="G8" s="58" t="s">
        <v>932</v>
      </c>
      <c r="H8" s="27">
        <v>10</v>
      </c>
      <c r="I8" s="28"/>
      <c r="J8" s="58" t="s">
        <v>932</v>
      </c>
      <c r="K8" s="27">
        <v>10</v>
      </c>
      <c r="L8" s="28"/>
      <c r="M8" s="58" t="s">
        <v>932</v>
      </c>
      <c r="N8" s="27">
        <v>10</v>
      </c>
      <c r="O8" s="28"/>
    </row>
    <row r="9" ht="18" customHeight="1" spans="3:15">
      <c r="C9" s="16"/>
      <c r="D9" s="16"/>
      <c r="E9" s="16"/>
      <c r="F9" s="25" t="s">
        <v>933</v>
      </c>
      <c r="G9" s="26">
        <v>2030</v>
      </c>
      <c r="H9" s="27"/>
      <c r="I9" s="28"/>
      <c r="J9" s="26">
        <v>2030</v>
      </c>
      <c r="K9" s="27"/>
      <c r="L9" s="28"/>
      <c r="M9" s="26">
        <v>1250</v>
      </c>
      <c r="N9" s="27"/>
      <c r="O9" s="28"/>
    </row>
    <row r="10" ht="18" customHeight="1" spans="3:15">
      <c r="C10" s="16"/>
      <c r="D10" s="16"/>
      <c r="E10" s="16"/>
      <c r="F10" s="25" t="s">
        <v>934</v>
      </c>
      <c r="G10" s="26">
        <v>2916</v>
      </c>
      <c r="H10" s="27"/>
      <c r="I10" s="28"/>
      <c r="J10" s="26">
        <v>2916</v>
      </c>
      <c r="K10" s="27"/>
      <c r="L10" s="28"/>
      <c r="M10" s="26">
        <v>2368</v>
      </c>
      <c r="N10" s="27"/>
      <c r="O10" s="28"/>
    </row>
    <row r="11" ht="18" customHeight="1" spans="3:15">
      <c r="C11" s="16"/>
      <c r="D11" s="16"/>
      <c r="E11" s="16"/>
      <c r="F11" s="25" t="s">
        <v>935</v>
      </c>
      <c r="G11" s="26">
        <v>2</v>
      </c>
      <c r="H11" s="27" t="s">
        <v>936</v>
      </c>
      <c r="I11" s="28"/>
      <c r="J11" s="26">
        <v>2</v>
      </c>
      <c r="K11" s="27" t="s">
        <v>936</v>
      </c>
      <c r="L11" s="28"/>
      <c r="M11" s="26">
        <v>2</v>
      </c>
      <c r="N11" s="27" t="s">
        <v>936</v>
      </c>
      <c r="O11" s="28"/>
    </row>
    <row r="12" ht="18" customHeight="1" spans="3:15">
      <c r="C12" s="16"/>
      <c r="D12" s="16"/>
      <c r="E12" s="16"/>
      <c r="F12" s="25" t="s">
        <v>937</v>
      </c>
      <c r="G12" s="26">
        <v>6</v>
      </c>
      <c r="H12" s="27" t="s">
        <v>936</v>
      </c>
      <c r="I12" s="28"/>
      <c r="J12" s="26">
        <v>6</v>
      </c>
      <c r="K12" s="27" t="s">
        <v>936</v>
      </c>
      <c r="L12" s="28"/>
      <c r="M12" s="26">
        <v>6</v>
      </c>
      <c r="N12" s="27" t="s">
        <v>936</v>
      </c>
      <c r="O12" s="28"/>
    </row>
    <row r="13" ht="18" customHeight="1" spans="3:15">
      <c r="C13" s="16"/>
      <c r="D13" s="16"/>
      <c r="E13" s="16"/>
      <c r="F13" s="25" t="s">
        <v>938</v>
      </c>
      <c r="G13" s="26">
        <v>1.125</v>
      </c>
      <c r="H13" s="59" t="s">
        <v>939</v>
      </c>
      <c r="I13" s="28"/>
      <c r="J13" s="26">
        <v>1.125</v>
      </c>
      <c r="K13" s="59" t="s">
        <v>939</v>
      </c>
      <c r="L13" s="28"/>
      <c r="M13" s="26">
        <v>1.125</v>
      </c>
      <c r="N13" s="59" t="s">
        <v>939</v>
      </c>
      <c r="O13" s="28"/>
    </row>
    <row r="14" ht="18" customHeight="1" spans="3:15">
      <c r="C14" s="16"/>
      <c r="D14" s="16"/>
      <c r="E14" s="16"/>
      <c r="F14" s="25" t="s">
        <v>940</v>
      </c>
      <c r="G14" s="26">
        <v>16</v>
      </c>
      <c r="H14" s="59" t="s">
        <v>939</v>
      </c>
      <c r="I14" s="28"/>
      <c r="J14" s="26">
        <v>16</v>
      </c>
      <c r="K14" s="59" t="s">
        <v>939</v>
      </c>
      <c r="L14" s="28"/>
      <c r="M14" s="26">
        <v>16</v>
      </c>
      <c r="N14" s="59" t="s">
        <v>939</v>
      </c>
      <c r="O14" s="28"/>
    </row>
    <row r="15" ht="18" customHeight="1" spans="3:15">
      <c r="C15" s="16"/>
      <c r="D15" s="16"/>
      <c r="E15" s="16"/>
      <c r="F15" s="25" t="s">
        <v>941</v>
      </c>
      <c r="G15" s="26">
        <v>1</v>
      </c>
      <c r="H15" s="59" t="s">
        <v>939</v>
      </c>
      <c r="I15" s="28"/>
      <c r="J15" s="26">
        <v>1</v>
      </c>
      <c r="K15" s="59" t="s">
        <v>939</v>
      </c>
      <c r="L15" s="28"/>
      <c r="M15" s="26">
        <v>1</v>
      </c>
      <c r="N15" s="59" t="s">
        <v>939</v>
      </c>
      <c r="O15" s="28"/>
    </row>
    <row r="16" ht="18" customHeight="1" spans="3:15">
      <c r="C16" s="16"/>
      <c r="D16" s="16"/>
      <c r="E16" s="16"/>
      <c r="F16" s="25" t="s">
        <v>942</v>
      </c>
      <c r="G16" s="26">
        <v>2</v>
      </c>
      <c r="H16" s="27" t="s">
        <v>943</v>
      </c>
      <c r="I16" s="28"/>
      <c r="J16" s="26">
        <v>2</v>
      </c>
      <c r="K16" s="27" t="s">
        <v>943</v>
      </c>
      <c r="L16" s="28"/>
      <c r="M16" s="26">
        <v>2</v>
      </c>
      <c r="N16" s="27" t="s">
        <v>943</v>
      </c>
      <c r="O16" s="28"/>
    </row>
    <row r="17" ht="18" customHeight="1" spans="3:15">
      <c r="C17" s="16"/>
      <c r="D17" s="16"/>
      <c r="E17" s="16"/>
      <c r="F17" s="25"/>
      <c r="G17" s="26"/>
      <c r="H17" s="27"/>
      <c r="I17" s="28"/>
      <c r="J17" s="26"/>
      <c r="K17" s="27"/>
      <c r="L17" s="28"/>
      <c r="M17" s="26"/>
      <c r="N17" s="27"/>
      <c r="O17" s="28"/>
    </row>
    <row r="18" ht="18" customHeight="1" spans="3:15">
      <c r="C18" s="16"/>
      <c r="D18" s="16"/>
      <c r="E18" s="16"/>
      <c r="F18" s="25"/>
      <c r="G18" s="26"/>
      <c r="H18" s="27"/>
      <c r="I18" s="28"/>
      <c r="J18" s="60"/>
      <c r="K18" s="27"/>
      <c r="L18" s="28"/>
      <c r="M18" s="26"/>
      <c r="N18" s="27"/>
      <c r="O18" s="28"/>
    </row>
    <row r="19" ht="23.25" customHeight="1" spans="3:15">
      <c r="C19" s="29" t="s">
        <v>125</v>
      </c>
      <c r="D19" s="30" t="s">
        <v>126</v>
      </c>
      <c r="E19" s="30" t="s">
        <v>127</v>
      </c>
      <c r="F19" s="30" t="s">
        <v>128</v>
      </c>
      <c r="G19" s="31" t="s">
        <v>129</v>
      </c>
      <c r="H19" s="30" t="s">
        <v>130</v>
      </c>
      <c r="I19" s="32" t="s">
        <v>131</v>
      </c>
      <c r="J19" s="30" t="s">
        <v>129</v>
      </c>
      <c r="K19" s="30" t="s">
        <v>130</v>
      </c>
      <c r="L19" s="32" t="s">
        <v>131</v>
      </c>
      <c r="M19" s="30" t="s">
        <v>129</v>
      </c>
      <c r="N19" s="30" t="s">
        <v>130</v>
      </c>
      <c r="O19" s="32" t="s">
        <v>131</v>
      </c>
    </row>
    <row r="20" ht="15" customHeight="1" spans="3:15">
      <c r="C20" s="33" t="s">
        <v>944</v>
      </c>
      <c r="D20" s="34"/>
      <c r="E20" s="34"/>
      <c r="F20" s="35"/>
      <c r="G20" s="36"/>
      <c r="H20" s="34"/>
      <c r="I20" s="35"/>
      <c r="J20" s="36"/>
      <c r="K20" s="34"/>
      <c r="L20" s="35"/>
      <c r="M20" s="36"/>
      <c r="N20" s="34"/>
      <c r="O20" s="35"/>
    </row>
    <row r="21" ht="15" customHeight="1" spans="3:15">
      <c r="C21" s="38"/>
      <c r="D21" s="39" t="s">
        <v>945</v>
      </c>
      <c r="E21" s="40" t="s">
        <v>946</v>
      </c>
      <c r="F21" s="41" t="s">
        <v>286</v>
      </c>
      <c r="G21" s="42" t="s">
        <v>338</v>
      </c>
      <c r="H21" s="43"/>
      <c r="I21" s="44"/>
      <c r="J21" s="42" t="s">
        <v>338</v>
      </c>
      <c r="K21" s="45"/>
      <c r="L21" s="44"/>
      <c r="M21" s="46" t="s">
        <v>338</v>
      </c>
      <c r="N21" s="45"/>
      <c r="O21" s="44"/>
    </row>
    <row r="22" ht="15" customHeight="1" spans="3:15">
      <c r="C22" s="38"/>
      <c r="D22" s="47" t="s">
        <v>947</v>
      </c>
      <c r="E22" s="48" t="s">
        <v>948</v>
      </c>
      <c r="F22" s="49" t="s">
        <v>35</v>
      </c>
      <c r="G22" s="42" t="s">
        <v>35</v>
      </c>
      <c r="H22" s="50"/>
      <c r="I22" s="51"/>
      <c r="J22" s="42" t="s">
        <v>35</v>
      </c>
      <c r="K22" s="16"/>
      <c r="L22" s="51"/>
      <c r="M22" s="46" t="s">
        <v>35</v>
      </c>
      <c r="N22" s="16"/>
      <c r="O22" s="51"/>
    </row>
    <row r="23" ht="15" customHeight="1" spans="3:15">
      <c r="C23" s="38"/>
      <c r="D23" s="39" t="s">
        <v>949</v>
      </c>
      <c r="E23" s="48" t="s">
        <v>950</v>
      </c>
      <c r="F23" s="49" t="s">
        <v>291</v>
      </c>
      <c r="G23" s="42" t="s">
        <v>951</v>
      </c>
      <c r="H23" s="50"/>
      <c r="I23" s="51"/>
      <c r="J23" s="42" t="s">
        <v>951</v>
      </c>
      <c r="K23" s="16"/>
      <c r="L23" s="51"/>
      <c r="M23" s="46" t="s">
        <v>951</v>
      </c>
      <c r="N23" s="16"/>
      <c r="O23" s="51"/>
    </row>
    <row r="24" ht="15" customHeight="1" spans="3:15">
      <c r="C24" s="38"/>
      <c r="D24" s="47" t="s">
        <v>952</v>
      </c>
      <c r="E24" s="40" t="s">
        <v>953</v>
      </c>
      <c r="F24" s="49" t="s">
        <v>35</v>
      </c>
      <c r="G24" s="42" t="s">
        <v>35</v>
      </c>
      <c r="H24" s="43"/>
      <c r="I24" s="44"/>
      <c r="J24" s="42" t="s">
        <v>35</v>
      </c>
      <c r="K24" s="45"/>
      <c r="L24" s="44"/>
      <c r="M24" s="46" t="s">
        <v>35</v>
      </c>
      <c r="N24" s="45"/>
      <c r="O24" s="44"/>
    </row>
    <row r="25" ht="15" customHeight="1" spans="3:15">
      <c r="C25" s="38"/>
      <c r="D25" s="39" t="s">
        <v>954</v>
      </c>
      <c r="E25" s="48" t="s">
        <v>955</v>
      </c>
      <c r="F25" s="49" t="s">
        <v>956</v>
      </c>
      <c r="G25" s="42" t="s">
        <v>970</v>
      </c>
      <c r="H25" s="50"/>
      <c r="I25" s="51"/>
      <c r="J25" s="42" t="s">
        <v>970</v>
      </c>
      <c r="K25" s="16"/>
      <c r="L25" s="51"/>
      <c r="M25" s="46" t="s">
        <v>510</v>
      </c>
      <c r="N25" s="16"/>
      <c r="O25" s="51"/>
    </row>
    <row r="26" ht="15" customHeight="1" spans="3:15">
      <c r="C26" s="38"/>
      <c r="D26" s="47" t="s">
        <v>960</v>
      </c>
      <c r="E26" s="48" t="s">
        <v>961</v>
      </c>
      <c r="F26" s="49" t="s">
        <v>35</v>
      </c>
      <c r="G26" s="42" t="s">
        <v>896</v>
      </c>
      <c r="H26" s="50"/>
      <c r="I26" s="51"/>
      <c r="J26" s="42" t="s">
        <v>896</v>
      </c>
      <c r="K26" s="16"/>
      <c r="L26" s="51"/>
      <c r="M26" s="46" t="s">
        <v>17</v>
      </c>
      <c r="N26" s="16"/>
      <c r="O26" s="51"/>
    </row>
    <row r="27" ht="15" customHeight="1" spans="3:15">
      <c r="C27" s="38"/>
      <c r="D27" s="39" t="s">
        <v>962</v>
      </c>
      <c r="E27" s="40" t="s">
        <v>963</v>
      </c>
      <c r="F27" s="49" t="s">
        <v>258</v>
      </c>
      <c r="G27" s="42" t="s">
        <v>976</v>
      </c>
      <c r="H27" s="43"/>
      <c r="I27" s="44"/>
      <c r="J27" s="42" t="s">
        <v>976</v>
      </c>
      <c r="K27" s="45"/>
      <c r="L27" s="44"/>
      <c r="M27" s="46" t="s">
        <v>1125</v>
      </c>
      <c r="N27" s="45"/>
      <c r="O27" s="44"/>
    </row>
    <row r="28" ht="15" customHeight="1" spans="3:15">
      <c r="C28" s="38"/>
      <c r="D28" s="47" t="s">
        <v>965</v>
      </c>
      <c r="E28" s="48" t="s">
        <v>966</v>
      </c>
      <c r="F28" s="49" t="s">
        <v>161</v>
      </c>
      <c r="G28" s="42" t="s">
        <v>234</v>
      </c>
      <c r="H28" s="50"/>
      <c r="I28" s="51"/>
      <c r="J28" s="42" t="s">
        <v>234</v>
      </c>
      <c r="K28" s="16"/>
      <c r="L28" s="51"/>
      <c r="M28" s="46" t="s">
        <v>896</v>
      </c>
      <c r="N28" s="16"/>
      <c r="O28" s="51"/>
    </row>
    <row r="29" ht="15" customHeight="1" spans="3:15">
      <c r="C29" s="38"/>
      <c r="D29" s="39" t="s">
        <v>967</v>
      </c>
      <c r="E29" s="48" t="s">
        <v>968</v>
      </c>
      <c r="F29" s="49" t="s">
        <v>969</v>
      </c>
      <c r="G29" s="42" t="s">
        <v>1126</v>
      </c>
      <c r="H29" s="50"/>
      <c r="I29" s="51"/>
      <c r="J29" s="42" t="s">
        <v>1126</v>
      </c>
      <c r="K29" s="16"/>
      <c r="L29" s="51"/>
      <c r="M29" s="46" t="s">
        <v>325</v>
      </c>
      <c r="N29" s="16"/>
      <c r="O29" s="51"/>
    </row>
    <row r="30" ht="15" customHeight="1" spans="3:15">
      <c r="C30" s="38"/>
      <c r="D30" s="47" t="s">
        <v>972</v>
      </c>
      <c r="E30" s="40" t="s">
        <v>973</v>
      </c>
      <c r="F30" s="41" t="s">
        <v>234</v>
      </c>
      <c r="G30" s="42" t="s">
        <v>264</v>
      </c>
      <c r="H30" s="43"/>
      <c r="I30" s="44"/>
      <c r="J30" s="42" t="s">
        <v>264</v>
      </c>
      <c r="K30" s="45"/>
      <c r="L30" s="44"/>
      <c r="M30" s="46" t="s">
        <v>988</v>
      </c>
      <c r="N30" s="45"/>
      <c r="O30" s="44"/>
    </row>
    <row r="31" ht="15" customHeight="1" spans="3:15">
      <c r="C31" s="38"/>
      <c r="D31" s="39" t="s">
        <v>974</v>
      </c>
      <c r="E31" s="48" t="s">
        <v>975</v>
      </c>
      <c r="F31" s="49" t="s">
        <v>333</v>
      </c>
      <c r="G31" s="42" t="s">
        <v>1113</v>
      </c>
      <c r="H31" s="50"/>
      <c r="I31" s="51"/>
      <c r="J31" s="42" t="s">
        <v>1113</v>
      </c>
      <c r="K31" s="16"/>
      <c r="L31" s="51"/>
      <c r="M31" s="46" t="s">
        <v>1127</v>
      </c>
      <c r="N31" s="16"/>
      <c r="O31" s="51"/>
    </row>
    <row r="32" ht="15" customHeight="1" spans="3:15">
      <c r="C32" s="38"/>
      <c r="D32" s="47" t="s">
        <v>978</v>
      </c>
      <c r="E32" s="48" t="s">
        <v>979</v>
      </c>
      <c r="F32" s="49" t="s">
        <v>234</v>
      </c>
      <c r="G32" s="42" t="s">
        <v>264</v>
      </c>
      <c r="H32" s="50"/>
      <c r="I32" s="51"/>
      <c r="J32" s="42" t="s">
        <v>264</v>
      </c>
      <c r="K32" s="16"/>
      <c r="L32" s="51"/>
      <c r="M32" s="46" t="s">
        <v>988</v>
      </c>
      <c r="N32" s="16"/>
      <c r="O32" s="51"/>
    </row>
    <row r="33" ht="15" customHeight="1" spans="3:15">
      <c r="C33" s="38"/>
      <c r="D33" s="39" t="s">
        <v>980</v>
      </c>
      <c r="E33" s="40" t="s">
        <v>981</v>
      </c>
      <c r="F33" s="41" t="s">
        <v>982</v>
      </c>
      <c r="G33" s="42" t="s">
        <v>578</v>
      </c>
      <c r="H33" s="43"/>
      <c r="I33" s="44"/>
      <c r="J33" s="42" t="s">
        <v>578</v>
      </c>
      <c r="K33" s="45"/>
      <c r="L33" s="44"/>
      <c r="M33" s="46" t="s">
        <v>1128</v>
      </c>
      <c r="N33" s="45"/>
      <c r="O33" s="44"/>
    </row>
    <row r="34" ht="15" customHeight="1" spans="3:15">
      <c r="C34" s="38"/>
      <c r="D34" s="54" t="s">
        <v>986</v>
      </c>
      <c r="E34" s="48" t="s">
        <v>987</v>
      </c>
      <c r="F34" s="49" t="s">
        <v>988</v>
      </c>
      <c r="G34" s="42" t="s">
        <v>144</v>
      </c>
      <c r="H34" s="50"/>
      <c r="I34" s="51"/>
      <c r="J34" s="42" t="s">
        <v>144</v>
      </c>
      <c r="K34" s="16"/>
      <c r="L34" s="51"/>
      <c r="M34" s="46" t="s">
        <v>135</v>
      </c>
      <c r="N34" s="16"/>
      <c r="O34" s="51"/>
    </row>
    <row r="35" ht="15" customHeight="1" spans="3:15">
      <c r="C35" s="38"/>
      <c r="D35" s="54" t="s">
        <v>989</v>
      </c>
      <c r="E35" s="48" t="s">
        <v>990</v>
      </c>
      <c r="F35" s="49" t="s">
        <v>544</v>
      </c>
      <c r="G35" s="42" t="s">
        <v>343</v>
      </c>
      <c r="H35" s="50"/>
      <c r="I35" s="51"/>
      <c r="J35" s="42" t="s">
        <v>343</v>
      </c>
      <c r="K35" s="16"/>
      <c r="L35" s="51"/>
      <c r="M35" s="46" t="s">
        <v>956</v>
      </c>
      <c r="N35" s="16"/>
      <c r="O35" s="51"/>
    </row>
    <row r="36" ht="15" customHeight="1" spans="3:15">
      <c r="C36" s="38"/>
      <c r="D36" s="54" t="s">
        <v>991</v>
      </c>
      <c r="E36" s="40" t="s">
        <v>992</v>
      </c>
      <c r="F36" s="41" t="s">
        <v>988</v>
      </c>
      <c r="G36" s="42" t="s">
        <v>144</v>
      </c>
      <c r="H36" s="43"/>
      <c r="I36" s="44"/>
      <c r="J36" s="42" t="s">
        <v>144</v>
      </c>
      <c r="K36" s="45"/>
      <c r="L36" s="44"/>
      <c r="M36" s="46" t="s">
        <v>135</v>
      </c>
      <c r="N36" s="45"/>
      <c r="O36" s="44"/>
    </row>
    <row r="37" ht="15" customHeight="1" spans="3:15">
      <c r="C37" s="38"/>
      <c r="D37" s="54" t="s">
        <v>993</v>
      </c>
      <c r="E37" s="48" t="s">
        <v>994</v>
      </c>
      <c r="F37" s="49" t="s">
        <v>35</v>
      </c>
      <c r="G37" s="42" t="s">
        <v>35</v>
      </c>
      <c r="H37" s="50"/>
      <c r="I37" s="51"/>
      <c r="J37" s="42" t="s">
        <v>35</v>
      </c>
      <c r="K37" s="16"/>
      <c r="L37" s="51"/>
      <c r="M37" s="46" t="s">
        <v>35</v>
      </c>
      <c r="N37" s="16"/>
      <c r="O37" s="51"/>
    </row>
    <row r="38" ht="15" customHeight="1" spans="3:15">
      <c r="C38" s="38"/>
      <c r="D38" s="54" t="s">
        <v>995</v>
      </c>
      <c r="E38" s="48" t="s">
        <v>996</v>
      </c>
      <c r="F38" s="49" t="s">
        <v>38</v>
      </c>
      <c r="G38" s="42" t="s">
        <v>38</v>
      </c>
      <c r="H38" s="50"/>
      <c r="I38" s="51"/>
      <c r="J38" s="42" t="s">
        <v>38</v>
      </c>
      <c r="K38" s="16"/>
      <c r="L38" s="51"/>
      <c r="M38" s="46" t="s">
        <v>38</v>
      </c>
      <c r="N38" s="16"/>
      <c r="O38" s="51"/>
    </row>
    <row r="39" ht="15" customHeight="1" spans="3:15">
      <c r="C39" s="38"/>
      <c r="D39" s="39" t="s">
        <v>997</v>
      </c>
      <c r="E39" s="40" t="s">
        <v>998</v>
      </c>
      <c r="F39" s="41" t="s">
        <v>17</v>
      </c>
      <c r="G39" s="42" t="s">
        <v>17</v>
      </c>
      <c r="H39" s="43"/>
      <c r="I39" s="44"/>
      <c r="J39" s="42" t="s">
        <v>17</v>
      </c>
      <c r="K39" s="45"/>
      <c r="L39" s="44"/>
      <c r="M39" s="46" t="s">
        <v>17</v>
      </c>
      <c r="N39" s="45"/>
      <c r="O39" s="44"/>
    </row>
    <row r="40" ht="15" customHeight="1" spans="3:15">
      <c r="C40" s="38"/>
      <c r="D40" s="47" t="s">
        <v>999</v>
      </c>
      <c r="E40" s="48" t="s">
        <v>1000</v>
      </c>
      <c r="F40" s="49" t="s">
        <v>38</v>
      </c>
      <c r="G40" s="42" t="s">
        <v>38</v>
      </c>
      <c r="H40" s="50"/>
      <c r="I40" s="51"/>
      <c r="J40" s="42" t="s">
        <v>38</v>
      </c>
      <c r="K40" s="16"/>
      <c r="L40" s="51"/>
      <c r="M40" s="46" t="s">
        <v>38</v>
      </c>
      <c r="N40" s="16"/>
      <c r="O40" s="51"/>
    </row>
    <row r="41" ht="15" customHeight="1" spans="3:15">
      <c r="C41" s="38"/>
      <c r="D41" s="54" t="s">
        <v>1001</v>
      </c>
      <c r="E41" s="48" t="s">
        <v>1002</v>
      </c>
      <c r="F41" s="49" t="s">
        <v>558</v>
      </c>
      <c r="G41" s="42" t="s">
        <v>558</v>
      </c>
      <c r="H41" s="50"/>
      <c r="I41" s="51"/>
      <c r="J41" s="42" t="s">
        <v>558</v>
      </c>
      <c r="K41" s="16"/>
      <c r="L41" s="51"/>
      <c r="M41" s="46" t="s">
        <v>558</v>
      </c>
      <c r="N41" s="16"/>
      <c r="O41" s="51"/>
    </row>
    <row r="42" ht="15" customHeight="1" spans="3:15">
      <c r="C42" s="38"/>
      <c r="D42" s="47" t="s">
        <v>1003</v>
      </c>
      <c r="E42" s="40" t="s">
        <v>1004</v>
      </c>
      <c r="F42" s="41" t="s">
        <v>35</v>
      </c>
      <c r="G42" s="42" t="s">
        <v>35</v>
      </c>
      <c r="H42" s="43"/>
      <c r="I42" s="44"/>
      <c r="J42" s="42" t="s">
        <v>35</v>
      </c>
      <c r="K42" s="45"/>
      <c r="L42" s="44"/>
      <c r="M42" s="46" t="s">
        <v>35</v>
      </c>
      <c r="N42" s="45"/>
      <c r="O42" s="44"/>
    </row>
    <row r="43" ht="15" customHeight="1" spans="3:15">
      <c r="C43" s="38"/>
      <c r="D43" s="54" t="s">
        <v>1005</v>
      </c>
      <c r="E43" s="48" t="s">
        <v>1006</v>
      </c>
      <c r="F43" s="49" t="s">
        <v>1007</v>
      </c>
      <c r="G43" s="42" t="s">
        <v>1007</v>
      </c>
      <c r="H43" s="50"/>
      <c r="I43" s="51"/>
      <c r="J43" s="42" t="s">
        <v>1007</v>
      </c>
      <c r="K43" s="16"/>
      <c r="L43" s="51"/>
      <c r="M43" s="46" t="s">
        <v>1007</v>
      </c>
      <c r="N43" s="16"/>
      <c r="O43" s="51"/>
    </row>
    <row r="44" ht="15" customHeight="1" spans="3:15">
      <c r="C44" s="38"/>
      <c r="D44" s="54" t="s">
        <v>1008</v>
      </c>
      <c r="E44" s="48" t="s">
        <v>1009</v>
      </c>
      <c r="F44" s="49" t="s">
        <v>35</v>
      </c>
      <c r="G44" s="42" t="s">
        <v>35</v>
      </c>
      <c r="H44" s="50"/>
      <c r="I44" s="51"/>
      <c r="J44" s="42" t="s">
        <v>35</v>
      </c>
      <c r="K44" s="16"/>
      <c r="L44" s="51"/>
      <c r="M44" s="46" t="s">
        <v>35</v>
      </c>
      <c r="N44" s="16"/>
      <c r="O44" s="51"/>
    </row>
    <row r="45" ht="15" customHeight="1" spans="3:15">
      <c r="C45" s="38"/>
      <c r="D45" s="54" t="s">
        <v>1010</v>
      </c>
      <c r="E45" s="40" t="s">
        <v>1011</v>
      </c>
      <c r="F45" s="41" t="s">
        <v>409</v>
      </c>
      <c r="G45" s="42" t="s">
        <v>409</v>
      </c>
      <c r="H45" s="43"/>
      <c r="I45" s="44"/>
      <c r="J45" s="42" t="s">
        <v>409</v>
      </c>
      <c r="K45" s="45"/>
      <c r="L45" s="44"/>
      <c r="M45" s="46" t="s">
        <v>409</v>
      </c>
      <c r="N45" s="45"/>
      <c r="O45" s="44"/>
    </row>
    <row r="46" ht="15" customHeight="1" spans="3:15">
      <c r="C46" s="38"/>
      <c r="D46" s="54" t="s">
        <v>1012</v>
      </c>
      <c r="E46" s="48" t="s">
        <v>1013</v>
      </c>
      <c r="F46" s="49" t="s">
        <v>90</v>
      </c>
      <c r="G46" s="42" t="s">
        <v>90</v>
      </c>
      <c r="H46" s="50"/>
      <c r="I46" s="51"/>
      <c r="J46" s="42" t="s">
        <v>90</v>
      </c>
      <c r="K46" s="16"/>
      <c r="L46" s="51"/>
      <c r="M46" s="46" t="s">
        <v>90</v>
      </c>
      <c r="N46" s="16"/>
      <c r="O46" s="51"/>
    </row>
    <row r="47" ht="15" customHeight="1" spans="3:15">
      <c r="C47" s="38"/>
      <c r="D47" s="54" t="s">
        <v>1014</v>
      </c>
      <c r="E47" s="48" t="s">
        <v>42</v>
      </c>
      <c r="F47" s="49" t="s">
        <v>38</v>
      </c>
      <c r="G47" s="42" t="s">
        <v>35</v>
      </c>
      <c r="H47" s="50"/>
      <c r="I47" s="51"/>
      <c r="J47" s="42" t="s">
        <v>35</v>
      </c>
      <c r="K47" s="16"/>
      <c r="L47" s="51"/>
      <c r="M47" s="46" t="s">
        <v>35</v>
      </c>
      <c r="N47" s="16"/>
      <c r="O47" s="51"/>
    </row>
    <row r="48" ht="15" customHeight="1" spans="3:15">
      <c r="C48" s="38"/>
      <c r="D48" s="54" t="s">
        <v>1015</v>
      </c>
      <c r="E48" s="40" t="s">
        <v>1016</v>
      </c>
      <c r="F48" s="41" t="s">
        <v>38</v>
      </c>
      <c r="G48" s="42" t="s">
        <v>38</v>
      </c>
      <c r="H48" s="43"/>
      <c r="I48" s="44"/>
      <c r="J48" s="42" t="s">
        <v>38</v>
      </c>
      <c r="K48" s="45"/>
      <c r="L48" s="44"/>
      <c r="M48" s="46" t="s">
        <v>35</v>
      </c>
      <c r="N48" s="45"/>
      <c r="O48" s="44"/>
    </row>
    <row r="49" ht="15" customHeight="1" spans="3:15">
      <c r="C49" s="38"/>
      <c r="D49" s="54" t="s">
        <v>1017</v>
      </c>
      <c r="E49" s="48" t="s">
        <v>1018</v>
      </c>
      <c r="F49" s="49" t="s">
        <v>220</v>
      </c>
      <c r="G49" s="42" t="s">
        <v>220</v>
      </c>
      <c r="H49" s="50"/>
      <c r="I49" s="51"/>
      <c r="J49" s="42" t="s">
        <v>220</v>
      </c>
      <c r="K49" s="16"/>
      <c r="L49" s="51"/>
      <c r="M49" s="46" t="s">
        <v>90</v>
      </c>
      <c r="N49" s="16"/>
      <c r="O49" s="51"/>
    </row>
    <row r="50" ht="15" customHeight="1" spans="3:15">
      <c r="C50" s="38"/>
      <c r="D50" s="54" t="s">
        <v>1019</v>
      </c>
      <c r="E50" s="48" t="s">
        <v>1020</v>
      </c>
      <c r="F50" s="49" t="s">
        <v>38</v>
      </c>
      <c r="G50" s="42" t="s">
        <v>38</v>
      </c>
      <c r="H50" s="50"/>
      <c r="I50" s="51"/>
      <c r="J50" s="42" t="s">
        <v>38</v>
      </c>
      <c r="K50" s="16"/>
      <c r="L50" s="51"/>
      <c r="M50" s="46" t="s">
        <v>38</v>
      </c>
      <c r="N50" s="16"/>
      <c r="O50" s="51"/>
    </row>
    <row r="51" ht="15" customHeight="1" spans="3:15">
      <c r="C51" s="38"/>
      <c r="D51" s="39" t="s">
        <v>1021</v>
      </c>
      <c r="E51" s="40" t="s">
        <v>1022</v>
      </c>
      <c r="F51" s="41" t="s">
        <v>38</v>
      </c>
      <c r="G51" s="42" t="s">
        <v>38</v>
      </c>
      <c r="H51" s="43"/>
      <c r="I51" s="44"/>
      <c r="J51" s="42" t="s">
        <v>38</v>
      </c>
      <c r="K51" s="45"/>
      <c r="L51" s="44"/>
      <c r="M51" s="46" t="s">
        <v>38</v>
      </c>
      <c r="N51" s="45"/>
      <c r="O51" s="44"/>
    </row>
    <row r="52" ht="15" customHeight="1" spans="3:15">
      <c r="C52" s="38"/>
      <c r="D52" s="47" t="s">
        <v>1023</v>
      </c>
      <c r="E52" s="48" t="s">
        <v>1024</v>
      </c>
      <c r="F52" s="49" t="s">
        <v>35</v>
      </c>
      <c r="G52" s="42" t="s">
        <v>35</v>
      </c>
      <c r="H52" s="50"/>
      <c r="I52" s="51"/>
      <c r="J52" s="42" t="s">
        <v>35</v>
      </c>
      <c r="K52" s="16"/>
      <c r="L52" s="51"/>
      <c r="M52" s="46" t="s">
        <v>35</v>
      </c>
      <c r="N52" s="16"/>
      <c r="O52" s="51"/>
    </row>
    <row r="53" ht="15" customHeight="1" spans="3:15">
      <c r="C53" s="38"/>
      <c r="D53" s="39" t="s">
        <v>1025</v>
      </c>
      <c r="E53" s="48" t="s">
        <v>1026</v>
      </c>
      <c r="F53" s="49" t="s">
        <v>38</v>
      </c>
      <c r="G53" s="42" t="s">
        <v>35</v>
      </c>
      <c r="H53" s="50"/>
      <c r="I53" s="51"/>
      <c r="J53" s="42" t="s">
        <v>35</v>
      </c>
      <c r="K53" s="16"/>
      <c r="L53" s="51"/>
      <c r="M53" s="46" t="s">
        <v>35</v>
      </c>
      <c r="N53" s="16"/>
      <c r="O53" s="51"/>
    </row>
    <row r="54" ht="15" customHeight="1" spans="3:15">
      <c r="C54" s="38"/>
      <c r="D54" s="47" t="s">
        <v>1027</v>
      </c>
      <c r="E54" s="40" t="s">
        <v>1028</v>
      </c>
      <c r="F54" s="41" t="s">
        <v>38</v>
      </c>
      <c r="G54" s="42" t="s">
        <v>38</v>
      </c>
      <c r="H54" s="43"/>
      <c r="I54" s="44"/>
      <c r="J54" s="42" t="s">
        <v>38</v>
      </c>
      <c r="K54" s="45"/>
      <c r="L54" s="44"/>
      <c r="M54" s="46" t="s">
        <v>38</v>
      </c>
      <c r="N54" s="45"/>
      <c r="O54" s="44"/>
    </row>
    <row r="55" ht="15" customHeight="1" spans="3:15">
      <c r="C55" s="38"/>
      <c r="D55" s="39" t="s">
        <v>1029</v>
      </c>
      <c r="E55" s="48" t="s">
        <v>44</v>
      </c>
      <c r="F55" s="49" t="s">
        <v>135</v>
      </c>
      <c r="G55" s="42" t="s">
        <v>1030</v>
      </c>
      <c r="H55" s="50"/>
      <c r="I55" s="51"/>
      <c r="J55" s="42" t="s">
        <v>1030</v>
      </c>
      <c r="K55" s="16"/>
      <c r="L55" s="51"/>
      <c r="M55" s="46" t="s">
        <v>1129</v>
      </c>
      <c r="N55" s="16"/>
      <c r="O55" s="51"/>
    </row>
    <row r="56" ht="15" customHeight="1" spans="3:15">
      <c r="C56" s="38"/>
      <c r="D56" s="47" t="s">
        <v>1032</v>
      </c>
      <c r="E56" s="48" t="s">
        <v>47</v>
      </c>
      <c r="F56" s="49" t="s">
        <v>38</v>
      </c>
      <c r="G56" s="42" t="s">
        <v>234</v>
      </c>
      <c r="H56" s="50"/>
      <c r="I56" s="51"/>
      <c r="J56" s="42" t="s">
        <v>234</v>
      </c>
      <c r="K56" s="16"/>
      <c r="L56" s="51"/>
      <c r="M56" s="46" t="s">
        <v>161</v>
      </c>
      <c r="N56" s="16"/>
      <c r="O56" s="51"/>
    </row>
    <row r="57" ht="15" customHeight="1" spans="3:15">
      <c r="C57" s="38"/>
      <c r="D57" s="39" t="s">
        <v>1033</v>
      </c>
      <c r="E57" s="40" t="s">
        <v>1034</v>
      </c>
      <c r="F57" s="41" t="s">
        <v>135</v>
      </c>
      <c r="G57" s="42" t="s">
        <v>809</v>
      </c>
      <c r="H57" s="43"/>
      <c r="I57" s="44"/>
      <c r="J57" s="42" t="s">
        <v>809</v>
      </c>
      <c r="K57" s="45"/>
      <c r="L57" s="44"/>
      <c r="M57" s="46" t="s">
        <v>196</v>
      </c>
      <c r="N57" s="45"/>
      <c r="O57" s="44"/>
    </row>
    <row r="58" ht="15" customHeight="1" spans="3:15">
      <c r="C58" s="38"/>
      <c r="D58" s="47" t="s">
        <v>1038</v>
      </c>
      <c r="E58" s="48" t="s">
        <v>1039</v>
      </c>
      <c r="F58" s="49" t="s">
        <v>38</v>
      </c>
      <c r="G58" s="42" t="s">
        <v>1130</v>
      </c>
      <c r="H58" s="50"/>
      <c r="I58" s="51"/>
      <c r="J58" s="42" t="s">
        <v>1130</v>
      </c>
      <c r="K58" s="16"/>
      <c r="L58" s="51"/>
      <c r="M58" s="46" t="s">
        <v>156</v>
      </c>
      <c r="N58" s="16"/>
      <c r="O58" s="51"/>
    </row>
    <row r="59" ht="15" customHeight="1" spans="3:15">
      <c r="C59" s="38"/>
      <c r="D59" s="39" t="s">
        <v>1040</v>
      </c>
      <c r="E59" s="40" t="s">
        <v>50</v>
      </c>
      <c r="F59" s="41" t="s">
        <v>35</v>
      </c>
      <c r="G59" s="42" t="s">
        <v>38</v>
      </c>
      <c r="H59" s="43"/>
      <c r="I59" s="44"/>
      <c r="J59" s="42" t="s">
        <v>38</v>
      </c>
      <c r="K59" s="45"/>
      <c r="L59" s="44"/>
      <c r="M59" s="46" t="s">
        <v>38</v>
      </c>
      <c r="N59" s="45"/>
      <c r="O59" s="44"/>
    </row>
    <row r="60" ht="15" customHeight="1" spans="3:15">
      <c r="C60" s="38"/>
      <c r="D60" s="47" t="s">
        <v>1041</v>
      </c>
      <c r="E60" s="48" t="s">
        <v>53</v>
      </c>
      <c r="F60" s="49" t="s">
        <v>38</v>
      </c>
      <c r="G60" s="42" t="s">
        <v>35</v>
      </c>
      <c r="H60" s="50"/>
      <c r="I60" s="51"/>
      <c r="J60" s="42" t="s">
        <v>35</v>
      </c>
      <c r="K60" s="16"/>
      <c r="L60" s="51"/>
      <c r="M60" s="46" t="s">
        <v>35</v>
      </c>
      <c r="N60" s="16"/>
      <c r="O60" s="51"/>
    </row>
    <row r="61" spans="3:15">
      <c r="C61" s="38"/>
      <c r="D61" s="54" t="s">
        <v>1042</v>
      </c>
      <c r="E61" s="48" t="s">
        <v>1043</v>
      </c>
      <c r="F61" s="49" t="s">
        <v>38</v>
      </c>
      <c r="G61" s="42" t="s">
        <v>38</v>
      </c>
      <c r="H61" s="50"/>
      <c r="I61" s="51"/>
      <c r="J61" s="42" t="s">
        <v>38</v>
      </c>
      <c r="K61" s="16"/>
      <c r="L61" s="51"/>
      <c r="M61" s="46" t="s">
        <v>38</v>
      </c>
      <c r="N61" s="16"/>
      <c r="O61" s="51"/>
    </row>
    <row r="62" spans="3:15">
      <c r="C62" s="38"/>
      <c r="D62" s="47" t="s">
        <v>1044</v>
      </c>
      <c r="E62" s="40" t="s">
        <v>1045</v>
      </c>
      <c r="F62" s="41" t="s">
        <v>38</v>
      </c>
      <c r="G62" s="42" t="s">
        <v>38</v>
      </c>
      <c r="H62" s="43"/>
      <c r="I62" s="44"/>
      <c r="J62" s="42" t="s">
        <v>38</v>
      </c>
      <c r="K62" s="45"/>
      <c r="L62" s="44"/>
      <c r="M62" s="46" t="s">
        <v>38</v>
      </c>
      <c r="N62" s="45"/>
      <c r="O62" s="44"/>
    </row>
    <row r="63" spans="3:15">
      <c r="C63" s="38"/>
      <c r="D63" s="39" t="s">
        <v>1046</v>
      </c>
      <c r="E63" s="40" t="s">
        <v>1047</v>
      </c>
      <c r="F63" s="41" t="s">
        <v>38</v>
      </c>
      <c r="G63" s="42" t="s">
        <v>35</v>
      </c>
      <c r="H63" s="43"/>
      <c r="I63" s="44"/>
      <c r="J63" s="42" t="s">
        <v>35</v>
      </c>
      <c r="K63" s="45"/>
      <c r="L63" s="44"/>
      <c r="M63" s="46" t="s">
        <v>35</v>
      </c>
      <c r="N63" s="45"/>
      <c r="O63" s="44"/>
    </row>
    <row r="64" spans="3:15">
      <c r="C64" s="38"/>
      <c r="D64" s="47" t="s">
        <v>1048</v>
      </c>
      <c r="E64" s="48" t="s">
        <v>1049</v>
      </c>
      <c r="F64" s="49" t="s">
        <v>35</v>
      </c>
      <c r="G64" s="42" t="s">
        <v>35</v>
      </c>
      <c r="H64" s="50"/>
      <c r="I64" s="51"/>
      <c r="J64" s="42" t="s">
        <v>35</v>
      </c>
      <c r="K64" s="16"/>
      <c r="L64" s="51"/>
      <c r="M64" s="46" t="s">
        <v>35</v>
      </c>
      <c r="N64" s="16"/>
      <c r="O64" s="51"/>
    </row>
    <row r="65" spans="3:15">
      <c r="C65" s="38"/>
      <c r="D65" s="54" t="s">
        <v>1050</v>
      </c>
      <c r="E65" s="48" t="s">
        <v>1051</v>
      </c>
      <c r="F65" s="49" t="s">
        <v>38</v>
      </c>
      <c r="G65" s="42" t="s">
        <v>38</v>
      </c>
      <c r="H65" s="50"/>
      <c r="I65" s="51"/>
      <c r="J65" s="42" t="s">
        <v>38</v>
      </c>
      <c r="K65" s="16"/>
      <c r="L65" s="51"/>
      <c r="M65" s="46" t="s">
        <v>38</v>
      </c>
      <c r="N65" s="16"/>
      <c r="O65" s="51"/>
    </row>
    <row r="66" spans="3:15">
      <c r="C66" s="38"/>
      <c r="D66" s="47" t="s">
        <v>1052</v>
      </c>
      <c r="E66" s="40" t="s">
        <v>1053</v>
      </c>
      <c r="F66" s="41" t="s">
        <v>35</v>
      </c>
      <c r="G66" s="42" t="s">
        <v>149</v>
      </c>
      <c r="H66" s="43"/>
      <c r="I66" s="44"/>
      <c r="J66" s="42" t="s">
        <v>149</v>
      </c>
      <c r="K66" s="45"/>
      <c r="L66" s="44"/>
      <c r="M66" s="46" t="s">
        <v>149</v>
      </c>
      <c r="N66" s="45"/>
      <c r="O66" s="44"/>
    </row>
    <row r="67" spans="3:15">
      <c r="C67" s="38"/>
      <c r="D67" s="39" t="s">
        <v>1054</v>
      </c>
      <c r="E67" s="40" t="s">
        <v>1055</v>
      </c>
      <c r="F67" s="41" t="s">
        <v>38</v>
      </c>
      <c r="G67" s="42" t="s">
        <v>38</v>
      </c>
      <c r="H67" s="43"/>
      <c r="I67" s="44"/>
      <c r="J67" s="42" t="s">
        <v>38</v>
      </c>
      <c r="K67" s="45"/>
      <c r="L67" s="44"/>
      <c r="M67" s="46" t="s">
        <v>38</v>
      </c>
      <c r="N67" s="45"/>
      <c r="O67" s="44"/>
    </row>
    <row r="68" spans="3:15">
      <c r="C68" s="38"/>
      <c r="D68" s="47" t="s">
        <v>1056</v>
      </c>
      <c r="E68" s="48" t="s">
        <v>1057</v>
      </c>
      <c r="F68" s="49" t="s">
        <v>35</v>
      </c>
      <c r="G68" s="42" t="s">
        <v>148</v>
      </c>
      <c r="H68" s="50"/>
      <c r="I68" s="51"/>
      <c r="J68" s="42" t="s">
        <v>148</v>
      </c>
      <c r="K68" s="16"/>
      <c r="L68" s="51"/>
      <c r="M68" s="46" t="s">
        <v>148</v>
      </c>
      <c r="N68" s="16"/>
      <c r="O68" s="51"/>
    </row>
    <row r="69" spans="3:15">
      <c r="C69" s="38"/>
      <c r="D69" s="54" t="s">
        <v>1058</v>
      </c>
      <c r="E69" s="48" t="s">
        <v>1059</v>
      </c>
      <c r="F69" s="49" t="s">
        <v>38</v>
      </c>
      <c r="G69" s="42" t="s">
        <v>38</v>
      </c>
      <c r="H69" s="50"/>
      <c r="I69" s="51"/>
      <c r="J69" s="42" t="s">
        <v>550</v>
      </c>
      <c r="K69" s="16"/>
      <c r="L69" s="51"/>
      <c r="M69" s="46" t="s">
        <v>264</v>
      </c>
      <c r="N69" s="16"/>
      <c r="O69" s="51"/>
    </row>
    <row r="70" spans="3:15">
      <c r="C70" s="38"/>
      <c r="D70" s="47" t="s">
        <v>1061</v>
      </c>
      <c r="E70" s="40" t="s">
        <v>1062</v>
      </c>
      <c r="F70" s="41" t="s">
        <v>38</v>
      </c>
      <c r="G70" s="42" t="s">
        <v>38</v>
      </c>
      <c r="H70" s="43"/>
      <c r="I70" s="44"/>
      <c r="J70" s="42" t="s">
        <v>35</v>
      </c>
      <c r="K70" s="45"/>
      <c r="L70" s="44"/>
      <c r="M70" s="46" t="s">
        <v>38</v>
      </c>
      <c r="N70" s="45"/>
      <c r="O70" s="44"/>
    </row>
    <row r="71" spans="3:15">
      <c r="C71" s="38"/>
      <c r="D71" s="39" t="s">
        <v>1063</v>
      </c>
      <c r="E71" s="40" t="s">
        <v>1064</v>
      </c>
      <c r="F71" s="41" t="s">
        <v>38</v>
      </c>
      <c r="G71" s="42" t="s">
        <v>467</v>
      </c>
      <c r="H71" s="43"/>
      <c r="I71" s="44"/>
      <c r="J71" s="42" t="s">
        <v>1065</v>
      </c>
      <c r="K71" s="45"/>
      <c r="L71" s="44"/>
      <c r="M71" s="46" t="s">
        <v>830</v>
      </c>
      <c r="N71" s="45"/>
      <c r="O71" s="44"/>
    </row>
    <row r="72" spans="3:15">
      <c r="C72" s="38"/>
      <c r="D72" s="47" t="s">
        <v>1067</v>
      </c>
      <c r="E72" s="48" t="s">
        <v>1068</v>
      </c>
      <c r="F72" s="49" t="s">
        <v>38</v>
      </c>
      <c r="G72" s="42" t="s">
        <v>234</v>
      </c>
      <c r="H72" s="50"/>
      <c r="I72" s="51"/>
      <c r="J72" s="42" t="s">
        <v>161</v>
      </c>
      <c r="K72" s="16"/>
      <c r="L72" s="51"/>
      <c r="M72" s="46" t="s">
        <v>234</v>
      </c>
      <c r="N72" s="16"/>
      <c r="O72" s="51"/>
    </row>
    <row r="73" spans="3:15">
      <c r="C73" s="38"/>
      <c r="D73" s="54" t="s">
        <v>1069</v>
      </c>
      <c r="E73" s="48" t="s">
        <v>1070</v>
      </c>
      <c r="F73" s="49" t="s">
        <v>38</v>
      </c>
      <c r="G73" s="42" t="s">
        <v>38</v>
      </c>
      <c r="H73" s="50"/>
      <c r="I73" s="51"/>
      <c r="J73" s="42" t="s">
        <v>38</v>
      </c>
      <c r="K73" s="16"/>
      <c r="L73" s="51"/>
      <c r="M73" s="46" t="s">
        <v>38</v>
      </c>
      <c r="N73" s="16"/>
      <c r="O73" s="51"/>
    </row>
    <row r="74" spans="3:15">
      <c r="C74" s="38"/>
      <c r="D74" s="47" t="s">
        <v>1071</v>
      </c>
      <c r="E74" s="40" t="s">
        <v>1072</v>
      </c>
      <c r="F74" s="41" t="s">
        <v>35</v>
      </c>
      <c r="G74" s="42" t="s">
        <v>148</v>
      </c>
      <c r="H74" s="43"/>
      <c r="I74" s="44"/>
      <c r="J74" s="42" t="s">
        <v>148</v>
      </c>
      <c r="K74" s="45"/>
      <c r="L74" s="44"/>
      <c r="M74" s="46" t="s">
        <v>148</v>
      </c>
      <c r="N74" s="45"/>
      <c r="O74" s="44"/>
    </row>
    <row r="75" spans="3:15">
      <c r="C75" s="38"/>
      <c r="D75" s="39" t="s">
        <v>1073</v>
      </c>
      <c r="E75" s="40" t="s">
        <v>58</v>
      </c>
      <c r="F75" s="49" t="s">
        <v>38</v>
      </c>
      <c r="G75" s="42" t="s">
        <v>90</v>
      </c>
      <c r="H75" s="43"/>
      <c r="I75" s="44"/>
      <c r="J75" s="42" t="s">
        <v>90</v>
      </c>
      <c r="K75" s="45"/>
      <c r="L75" s="44"/>
      <c r="M75" s="46" t="s">
        <v>90</v>
      </c>
      <c r="N75" s="45"/>
      <c r="O75" s="44"/>
    </row>
    <row r="76" spans="3:15">
      <c r="C76" s="38"/>
      <c r="D76" s="47" t="s">
        <v>1074</v>
      </c>
      <c r="E76" s="48" t="s">
        <v>1075</v>
      </c>
      <c r="F76" s="49" t="s">
        <v>38</v>
      </c>
      <c r="G76" s="42" t="s">
        <v>35</v>
      </c>
      <c r="H76" s="50"/>
      <c r="I76" s="51"/>
      <c r="J76" s="42" t="s">
        <v>35</v>
      </c>
      <c r="K76" s="16"/>
      <c r="L76" s="51"/>
      <c r="M76" s="42" t="s">
        <v>35</v>
      </c>
      <c r="N76" s="16"/>
      <c r="O76" s="51"/>
    </row>
    <row r="77" spans="3:15">
      <c r="C77" s="38"/>
      <c r="D77" s="54" t="s">
        <v>1076</v>
      </c>
      <c r="E77" s="48" t="s">
        <v>1077</v>
      </c>
      <c r="F77" s="49" t="s">
        <v>35</v>
      </c>
      <c r="G77" s="42" t="s">
        <v>35</v>
      </c>
      <c r="H77" s="50"/>
      <c r="I77" s="51"/>
      <c r="J77" s="42" t="s">
        <v>35</v>
      </c>
      <c r="K77" s="16"/>
      <c r="L77" s="51"/>
      <c r="M77" s="46" t="s">
        <v>35</v>
      </c>
      <c r="N77" s="16"/>
      <c r="O77" s="51"/>
    </row>
    <row r="78" spans="3:15">
      <c r="C78" s="38"/>
      <c r="D78" s="47" t="s">
        <v>1014</v>
      </c>
      <c r="E78" s="40" t="s">
        <v>42</v>
      </c>
      <c r="F78" s="41" t="s">
        <v>38</v>
      </c>
      <c r="G78" s="42" t="s">
        <v>38</v>
      </c>
      <c r="H78" s="43"/>
      <c r="I78" s="44"/>
      <c r="J78" s="42" t="s">
        <v>38</v>
      </c>
      <c r="K78" s="45"/>
      <c r="L78" s="44"/>
      <c r="M78" s="46" t="s">
        <v>38</v>
      </c>
      <c r="N78" s="45"/>
      <c r="O78" s="44"/>
    </row>
    <row r="79" spans="3:15">
      <c r="C79" s="38"/>
      <c r="D79" s="39" t="s">
        <v>1078</v>
      </c>
      <c r="E79" s="40" t="s">
        <v>1079</v>
      </c>
      <c r="F79" s="41" t="s">
        <v>161</v>
      </c>
      <c r="G79" s="42" t="s">
        <v>90</v>
      </c>
      <c r="H79" s="43"/>
      <c r="I79" s="44"/>
      <c r="J79" s="42" t="s">
        <v>90</v>
      </c>
      <c r="K79" s="45"/>
      <c r="L79" s="44"/>
      <c r="M79" s="42" t="s">
        <v>90</v>
      </c>
      <c r="N79" s="45"/>
      <c r="O79" s="44"/>
    </row>
    <row r="80" spans="3:15">
      <c r="C80" s="38"/>
      <c r="D80" s="47" t="s">
        <v>1080</v>
      </c>
      <c r="E80" s="48" t="s">
        <v>1081</v>
      </c>
      <c r="F80" s="49" t="s">
        <v>20</v>
      </c>
      <c r="G80" s="42" t="s">
        <v>20</v>
      </c>
      <c r="H80" s="50"/>
      <c r="I80" s="51"/>
      <c r="J80" s="42" t="s">
        <v>20</v>
      </c>
      <c r="K80" s="16"/>
      <c r="L80" s="51"/>
      <c r="M80" s="46" t="s">
        <v>20</v>
      </c>
      <c r="N80" s="16"/>
      <c r="O80" s="51"/>
    </row>
    <row r="81" spans="3:15">
      <c r="C81" s="38"/>
      <c r="D81" s="54" t="s">
        <v>1082</v>
      </c>
      <c r="E81" s="48" t="s">
        <v>1083</v>
      </c>
      <c r="F81" s="49" t="s">
        <v>35</v>
      </c>
      <c r="G81" s="42" t="s">
        <v>35</v>
      </c>
      <c r="H81" s="50"/>
      <c r="I81" s="51"/>
      <c r="J81" s="42" t="s">
        <v>35</v>
      </c>
      <c r="K81" s="16"/>
      <c r="L81" s="51"/>
      <c r="M81" s="46" t="s">
        <v>35</v>
      </c>
      <c r="N81" s="16"/>
      <c r="O81" s="51"/>
    </row>
    <row r="82" spans="3:15">
      <c r="C82" s="38"/>
      <c r="D82" s="47" t="s">
        <v>1084</v>
      </c>
      <c r="E82" s="40" t="s">
        <v>1085</v>
      </c>
      <c r="F82" s="41" t="s">
        <v>20</v>
      </c>
      <c r="G82" s="42" t="s">
        <v>20</v>
      </c>
      <c r="H82" s="43"/>
      <c r="I82" s="44"/>
      <c r="J82" s="42" t="s">
        <v>20</v>
      </c>
      <c r="K82" s="45"/>
      <c r="L82" s="44"/>
      <c r="M82" s="46" t="s">
        <v>20</v>
      </c>
      <c r="N82" s="45"/>
      <c r="O82" s="44"/>
    </row>
    <row r="83" spans="3:15">
      <c r="C83" s="38"/>
      <c r="D83" s="39" t="s">
        <v>1086</v>
      </c>
      <c r="E83" s="40" t="s">
        <v>1087</v>
      </c>
      <c r="F83" s="41" t="s">
        <v>156</v>
      </c>
      <c r="G83" s="42" t="s">
        <v>156</v>
      </c>
      <c r="H83" s="43"/>
      <c r="I83" s="44"/>
      <c r="J83" s="42" t="s">
        <v>156</v>
      </c>
      <c r="K83" s="45"/>
      <c r="L83" s="44"/>
      <c r="M83" s="42" t="s">
        <v>156</v>
      </c>
      <c r="N83" s="45"/>
      <c r="O83" s="44"/>
    </row>
    <row r="84" spans="3:15">
      <c r="C84" s="38"/>
      <c r="D84" s="47" t="s">
        <v>1088</v>
      </c>
      <c r="E84" s="48" t="s">
        <v>1089</v>
      </c>
      <c r="F84" s="49" t="s">
        <v>90</v>
      </c>
      <c r="G84" s="42" t="s">
        <v>35</v>
      </c>
      <c r="H84" s="50"/>
      <c r="I84" s="51"/>
      <c r="J84" s="42" t="s">
        <v>35</v>
      </c>
      <c r="K84" s="16"/>
      <c r="L84" s="51"/>
      <c r="M84" s="46" t="s">
        <v>35</v>
      </c>
      <c r="N84" s="16"/>
      <c r="O84" s="51"/>
    </row>
    <row r="85" spans="3:15">
      <c r="C85" s="38"/>
      <c r="D85" s="54" t="s">
        <v>1090</v>
      </c>
      <c r="E85" s="48" t="s">
        <v>1091</v>
      </c>
      <c r="F85" s="49" t="s">
        <v>38</v>
      </c>
      <c r="G85" s="42" t="s">
        <v>38</v>
      </c>
      <c r="H85" s="50"/>
      <c r="I85" s="51"/>
      <c r="J85" s="42" t="s">
        <v>578</v>
      </c>
      <c r="K85" s="16"/>
      <c r="L85" s="51"/>
      <c r="M85" s="46" t="s">
        <v>148</v>
      </c>
      <c r="N85" s="16"/>
      <c r="O85" s="51"/>
    </row>
    <row r="86" spans="3:15">
      <c r="C86" s="38"/>
      <c r="D86" s="47" t="s">
        <v>1092</v>
      </c>
      <c r="E86" s="40" t="s">
        <v>1093</v>
      </c>
      <c r="F86" s="41" t="s">
        <v>38</v>
      </c>
      <c r="G86" s="42" t="s">
        <v>38</v>
      </c>
      <c r="H86" s="43"/>
      <c r="I86" s="44"/>
      <c r="J86" s="42" t="s">
        <v>35</v>
      </c>
      <c r="K86" s="45"/>
      <c r="L86" s="44"/>
      <c r="M86" s="46" t="s">
        <v>38</v>
      </c>
      <c r="N86" s="45"/>
      <c r="O86" s="44"/>
    </row>
    <row r="87" spans="3:15">
      <c r="C87" s="38"/>
      <c r="D87" s="39" t="s">
        <v>1094</v>
      </c>
      <c r="E87" s="40" t="s">
        <v>1095</v>
      </c>
      <c r="F87" s="41" t="s">
        <v>38</v>
      </c>
      <c r="G87" s="42" t="s">
        <v>38</v>
      </c>
      <c r="H87" s="43"/>
      <c r="I87" s="44"/>
      <c r="J87" s="42" t="s">
        <v>38</v>
      </c>
      <c r="K87" s="45"/>
      <c r="L87" s="44"/>
      <c r="M87" s="46" t="s">
        <v>38</v>
      </c>
      <c r="N87" s="45"/>
      <c r="O87" s="44"/>
    </row>
    <row r="88" spans="3:15">
      <c r="C88" s="38"/>
      <c r="D88" s="47" t="s">
        <v>1096</v>
      </c>
      <c r="E88" s="48" t="s">
        <v>1097</v>
      </c>
      <c r="F88" s="49" t="s">
        <v>38</v>
      </c>
      <c r="G88" s="42" t="s">
        <v>38</v>
      </c>
      <c r="H88" s="50"/>
      <c r="I88" s="51"/>
      <c r="J88" s="42" t="s">
        <v>38</v>
      </c>
      <c r="K88" s="16"/>
      <c r="L88" s="51"/>
      <c r="M88" s="46" t="s">
        <v>38</v>
      </c>
      <c r="N88" s="16"/>
      <c r="O88" s="51"/>
    </row>
    <row r="89" spans="3:15">
      <c r="C89" s="38"/>
      <c r="D89" s="54" t="s">
        <v>1098</v>
      </c>
      <c r="E89" s="48" t="s">
        <v>1099</v>
      </c>
      <c r="F89" s="49" t="s">
        <v>802</v>
      </c>
      <c r="G89" s="42" t="s">
        <v>802</v>
      </c>
      <c r="H89" s="50"/>
      <c r="I89" s="51"/>
      <c r="J89" s="42" t="s">
        <v>830</v>
      </c>
      <c r="K89" s="16"/>
      <c r="L89" s="51"/>
      <c r="M89" s="46" t="s">
        <v>38</v>
      </c>
      <c r="N89" s="16"/>
      <c r="O89" s="51"/>
    </row>
    <row r="90" spans="3:15">
      <c r="C90" s="38"/>
      <c r="D90" s="47" t="s">
        <v>1100</v>
      </c>
      <c r="E90" s="40" t="s">
        <v>1101</v>
      </c>
      <c r="F90" s="41" t="s">
        <v>988</v>
      </c>
      <c r="G90" s="42" t="s">
        <v>988</v>
      </c>
      <c r="H90" s="43"/>
      <c r="I90" s="44"/>
      <c r="J90" s="42" t="s">
        <v>234</v>
      </c>
      <c r="K90" s="45"/>
      <c r="L90" s="44"/>
      <c r="M90" s="46" t="s">
        <v>17</v>
      </c>
      <c r="N90" s="45"/>
      <c r="O90" s="44"/>
    </row>
    <row r="91" spans="3:15">
      <c r="C91" s="38"/>
      <c r="D91" s="39" t="s">
        <v>1102</v>
      </c>
      <c r="E91" s="40" t="s">
        <v>1103</v>
      </c>
      <c r="F91" s="41" t="s">
        <v>467</v>
      </c>
      <c r="G91" s="42" t="s">
        <v>467</v>
      </c>
      <c r="H91" s="43"/>
      <c r="I91" s="44"/>
      <c r="J91" s="42" t="s">
        <v>1065</v>
      </c>
      <c r="K91" s="45"/>
      <c r="L91" s="44"/>
      <c r="M91" s="46" t="s">
        <v>188</v>
      </c>
      <c r="N91" s="45"/>
      <c r="O91" s="44"/>
    </row>
    <row r="92" spans="3:15">
      <c r="C92" s="38"/>
      <c r="D92" s="47" t="s">
        <v>1105</v>
      </c>
      <c r="E92" s="48" t="s">
        <v>1106</v>
      </c>
      <c r="F92" s="49" t="s">
        <v>234</v>
      </c>
      <c r="G92" s="42" t="s">
        <v>234</v>
      </c>
      <c r="H92" s="50"/>
      <c r="I92" s="51"/>
      <c r="J92" s="42" t="s">
        <v>161</v>
      </c>
      <c r="K92" s="16"/>
      <c r="L92" s="51"/>
      <c r="M92" s="46" t="s">
        <v>220</v>
      </c>
      <c r="N92" s="16"/>
      <c r="O92" s="51"/>
    </row>
    <row r="93" spans="3:15">
      <c r="C93" s="38"/>
      <c r="D93" s="54" t="s">
        <v>1107</v>
      </c>
      <c r="E93" s="48" t="s">
        <v>1108</v>
      </c>
      <c r="F93" s="49" t="s">
        <v>225</v>
      </c>
      <c r="G93" s="42" t="s">
        <v>802</v>
      </c>
      <c r="H93" s="50"/>
      <c r="I93" s="51"/>
      <c r="J93" s="42" t="s">
        <v>830</v>
      </c>
      <c r="K93" s="16"/>
      <c r="L93" s="51"/>
      <c r="M93" s="46" t="s">
        <v>38</v>
      </c>
      <c r="N93" s="16"/>
      <c r="O93" s="51"/>
    </row>
    <row r="94" spans="3:15">
      <c r="C94" s="38"/>
      <c r="D94" s="47" t="s">
        <v>1109</v>
      </c>
      <c r="E94" s="40" t="s">
        <v>1110</v>
      </c>
      <c r="F94" s="41" t="s">
        <v>988</v>
      </c>
      <c r="G94" s="42" t="s">
        <v>988</v>
      </c>
      <c r="H94" s="43"/>
      <c r="I94" s="44"/>
      <c r="J94" s="42" t="s">
        <v>234</v>
      </c>
      <c r="K94" s="45"/>
      <c r="L94" s="44"/>
      <c r="M94" s="46" t="s">
        <v>17</v>
      </c>
      <c r="N94" s="45"/>
      <c r="O94" s="44"/>
    </row>
    <row r="95" spans="3:15">
      <c r="C95" s="38"/>
      <c r="D95" s="39" t="s">
        <v>1111</v>
      </c>
      <c r="E95" s="40" t="s">
        <v>1112</v>
      </c>
      <c r="F95" s="41" t="s">
        <v>1113</v>
      </c>
      <c r="G95" s="42" t="s">
        <v>467</v>
      </c>
      <c r="H95" s="43"/>
      <c r="I95" s="44"/>
      <c r="J95" s="42" t="s">
        <v>1065</v>
      </c>
      <c r="K95" s="45"/>
      <c r="L95" s="44"/>
      <c r="M95" s="46" t="s">
        <v>188</v>
      </c>
      <c r="N95" s="45"/>
      <c r="O95" s="44"/>
    </row>
    <row r="96" spans="3:15">
      <c r="C96" s="38"/>
      <c r="D96" s="47" t="s">
        <v>1114</v>
      </c>
      <c r="E96" s="48" t="s">
        <v>1115</v>
      </c>
      <c r="F96" s="49" t="s">
        <v>234</v>
      </c>
      <c r="G96" s="42" t="s">
        <v>234</v>
      </c>
      <c r="H96" s="50"/>
      <c r="I96" s="51"/>
      <c r="J96" s="42" t="s">
        <v>161</v>
      </c>
      <c r="K96" s="16"/>
      <c r="L96" s="51"/>
      <c r="M96" s="46" t="s">
        <v>220</v>
      </c>
      <c r="N96" s="16"/>
      <c r="O96" s="51"/>
    </row>
    <row r="97" spans="3:15">
      <c r="C97" s="38"/>
      <c r="D97" s="54" t="s">
        <v>1116</v>
      </c>
      <c r="E97" s="48" t="s">
        <v>1117</v>
      </c>
      <c r="F97" s="49" t="s">
        <v>38</v>
      </c>
      <c r="G97" s="42" t="s">
        <v>35</v>
      </c>
      <c r="H97" s="50"/>
      <c r="I97" s="51"/>
      <c r="J97" s="42" t="s">
        <v>35</v>
      </c>
      <c r="K97" s="16"/>
      <c r="L97" s="51"/>
      <c r="M97" s="46" t="s">
        <v>35</v>
      </c>
      <c r="N97" s="16"/>
      <c r="O97" s="51"/>
    </row>
    <row r="98" spans="3:15">
      <c r="C98" s="55"/>
      <c r="D98" s="47" t="s">
        <v>1118</v>
      </c>
      <c r="E98" s="40" t="s">
        <v>1119</v>
      </c>
      <c r="F98" s="41" t="s">
        <v>38</v>
      </c>
      <c r="G98" s="42" t="s">
        <v>35</v>
      </c>
      <c r="H98" s="43"/>
      <c r="I98" s="44"/>
      <c r="J98" s="42" t="s">
        <v>35</v>
      </c>
      <c r="K98" s="45"/>
      <c r="L98" s="44"/>
      <c r="M98" s="46" t="s">
        <v>35</v>
      </c>
      <c r="N98" s="45"/>
      <c r="O98" s="44"/>
    </row>
  </sheetData>
  <conditionalFormatting sqref="D41">
    <cfRule type="expression" dxfId="1" priority="114">
      <formula>MOD(_xleta.ROW,2)=0</formula>
    </cfRule>
    <cfRule type="expression" dxfId="1" priority="113">
      <formula>MOD(ROW(),2)=0</formula>
    </cfRule>
  </conditionalFormatting>
  <conditionalFormatting sqref="D43">
    <cfRule type="expression" dxfId="1" priority="112">
      <formula>MOD(_xleta.ROW,2)=0</formula>
    </cfRule>
    <cfRule type="expression" dxfId="1" priority="111">
      <formula>MOD(ROW(),2)=0</formula>
    </cfRule>
  </conditionalFormatting>
  <conditionalFormatting sqref="D50">
    <cfRule type="expression" dxfId="1" priority="107">
      <formula>MOD(ROW(),2)=0</formula>
    </cfRule>
    <cfRule type="expression" dxfId="1" priority="108">
      <formula>MOD(_xleta.ROW,2)=0</formula>
    </cfRule>
  </conditionalFormatting>
  <conditionalFormatting sqref="D61">
    <cfRule type="expression" dxfId="1" priority="30">
      <formula>MOD(ROW(),2)=0</formula>
    </cfRule>
    <cfRule type="expression" dxfId="1" priority="40">
      <formula>MOD(_xleta.ROW,2)=0</formula>
    </cfRule>
  </conditionalFormatting>
  <conditionalFormatting sqref="D65">
    <cfRule type="expression" dxfId="1" priority="29">
      <formula>MOD(ROW(),2)=0</formula>
    </cfRule>
    <cfRule type="expression" dxfId="1" priority="39">
      <formula>MOD(_xleta.ROW,2)=0</formula>
    </cfRule>
  </conditionalFormatting>
  <conditionalFormatting sqref="D69">
    <cfRule type="expression" dxfId="1" priority="28">
      <formula>MOD(ROW(),2)=0</formula>
    </cfRule>
    <cfRule type="expression" dxfId="1" priority="38">
      <formula>MOD(_xleta.ROW,2)=0</formula>
    </cfRule>
  </conditionalFormatting>
  <conditionalFormatting sqref="D73">
    <cfRule type="expression" dxfId="1" priority="27">
      <formula>MOD(ROW(),2)=0</formula>
    </cfRule>
    <cfRule type="expression" dxfId="1" priority="37">
      <formula>MOD(_xleta.ROW,2)=0</formula>
    </cfRule>
  </conditionalFormatting>
  <conditionalFormatting sqref="F75">
    <cfRule type="expression" dxfId="1" priority="1">
      <formula>MOD(ROW(),2)=0</formula>
    </cfRule>
    <cfRule type="expression" dxfId="1" priority="2">
      <formula>MOD(_xleta.ROW,2)=0</formula>
    </cfRule>
  </conditionalFormatting>
  <conditionalFormatting sqref="J76">
    <cfRule type="expression" dxfId="1" priority="5">
      <formula>MOD(ROW(),2)=0</formula>
    </cfRule>
    <cfRule type="expression" dxfId="1" priority="6">
      <formula>MOD(_xleta.ROW,2)=0</formula>
    </cfRule>
  </conditionalFormatting>
  <conditionalFormatting sqref="M76">
    <cfRule type="expression" dxfId="1" priority="3">
      <formula>MOD(ROW(),2)=0</formula>
    </cfRule>
    <cfRule type="expression" dxfId="1" priority="4">
      <formula>MOD(_xleta.ROW,2)=0</formula>
    </cfRule>
  </conditionalFormatting>
  <conditionalFormatting sqref="D77">
    <cfRule type="expression" dxfId="1" priority="26">
      <formula>MOD(ROW(),2)=0</formula>
    </cfRule>
    <cfRule type="expression" dxfId="1" priority="36">
      <formula>MOD(_xleta.ROW,2)=0</formula>
    </cfRule>
  </conditionalFormatting>
  <conditionalFormatting sqref="J79">
    <cfRule type="expression" dxfId="1" priority="13">
      <formula>MOD(ROW(),2)=0</formula>
    </cfRule>
    <cfRule type="expression" dxfId="1" priority="14">
      <formula>MOD(_xleta.ROW,2)=0</formula>
    </cfRule>
  </conditionalFormatting>
  <conditionalFormatting sqref="M79">
    <cfRule type="expression" dxfId="1" priority="11">
      <formula>MOD(ROW(),2)=0</formula>
    </cfRule>
    <cfRule type="expression" dxfId="1" priority="12">
      <formula>MOD(_xleta.ROW,2)=0</formula>
    </cfRule>
  </conditionalFormatting>
  <conditionalFormatting sqref="D81">
    <cfRule type="expression" dxfId="1" priority="25">
      <formula>MOD(ROW(),2)=0</formula>
    </cfRule>
    <cfRule type="expression" dxfId="1" priority="35">
      <formula>MOD(_xleta.ROW,2)=0</formula>
    </cfRule>
  </conditionalFormatting>
  <conditionalFormatting sqref="J83">
    <cfRule type="expression" dxfId="1" priority="9">
      <formula>MOD(ROW(),2)=0</formula>
    </cfRule>
    <cfRule type="expression" dxfId="1" priority="10">
      <formula>MOD(_xleta.ROW,2)=0</formula>
    </cfRule>
  </conditionalFormatting>
  <conditionalFormatting sqref="M83">
    <cfRule type="expression" dxfId="1" priority="7">
      <formula>MOD(ROW(),2)=0</formula>
    </cfRule>
    <cfRule type="expression" dxfId="1" priority="8">
      <formula>MOD(_xleta.ROW,2)=0</formula>
    </cfRule>
  </conditionalFormatting>
  <conditionalFormatting sqref="D85">
    <cfRule type="expression" dxfId="1" priority="24">
      <formula>MOD(ROW(),2)=0</formula>
    </cfRule>
    <cfRule type="expression" dxfId="1" priority="34">
      <formula>MOD(_xleta.ROW,2)=0</formula>
    </cfRule>
  </conditionalFormatting>
  <conditionalFormatting sqref="D89">
    <cfRule type="expression" dxfId="1" priority="23">
      <formula>MOD(ROW(),2)=0</formula>
    </cfRule>
    <cfRule type="expression" dxfId="1" priority="33">
      <formula>MOD(_xleta.ROW,2)=0</formula>
    </cfRule>
  </conditionalFormatting>
  <conditionalFormatting sqref="D93">
    <cfRule type="expression" dxfId="1" priority="22">
      <formula>MOD(ROW(),2)=0</formula>
    </cfRule>
    <cfRule type="expression" dxfId="1" priority="32">
      <formula>MOD(_xleta.ROW,2)=0</formula>
    </cfRule>
  </conditionalFormatting>
  <conditionalFormatting sqref="D97">
    <cfRule type="expression" dxfId="1" priority="21">
      <formula>MOD(ROW(),2)=0</formula>
    </cfRule>
    <cfRule type="expression" dxfId="1" priority="31">
      <formula>MOD(_xleta.ROW,2)=0</formula>
    </cfRule>
  </conditionalFormatting>
  <conditionalFormatting sqref="D34:D38">
    <cfRule type="expression" dxfId="1" priority="116">
      <formula>MOD(_xleta.ROW,2)=0</formula>
    </cfRule>
    <cfRule type="expression" dxfId="1" priority="115">
      <formula>MOD(ROW(),2)=0</formula>
    </cfRule>
  </conditionalFormatting>
  <conditionalFormatting sqref="D44:D49">
    <cfRule type="expression" dxfId="1" priority="110">
      <formula>MOD(_xleta.ROW,2)=0</formula>
    </cfRule>
    <cfRule type="expression" dxfId="1" priority="109">
      <formula>MOD(ROW(),2)=0</formula>
    </cfRule>
  </conditionalFormatting>
  <conditionalFormatting sqref="F24:F29">
    <cfRule type="expression" dxfId="1" priority="118">
      <formula>MOD(_xleta.ROW,2)=0</formula>
    </cfRule>
    <cfRule type="expression" dxfId="1" priority="117">
      <formula>MOD(ROW(),2)=0</formula>
    </cfRule>
  </conditionalFormatting>
  <conditionalFormatting sqref="D21:D33 D39:D40 D42 D51:D58">
    <cfRule type="expression" dxfId="1" priority="119">
      <formula>MOD(ROW(),2)=0</formula>
    </cfRule>
    <cfRule type="expression" dxfId="1" priority="120">
      <formula>MOD(_xleta.ROW,2)=0</formula>
    </cfRule>
  </conditionalFormatting>
  <conditionalFormatting sqref="E21:I23 J21:O58">
    <cfRule type="expression" dxfId="1" priority="123">
      <formula>MOD(ROW(),2)=0</formula>
    </cfRule>
    <cfRule type="expression" dxfId="1" priority="124">
      <formula>MOD(_xleta.ROW,2)=0</formula>
    </cfRule>
  </conditionalFormatting>
  <conditionalFormatting sqref="E30:I58 E24:E29 G24:I29">
    <cfRule type="expression" dxfId="1" priority="121">
      <formula>MOD(ROW(),2)=0</formula>
    </cfRule>
    <cfRule type="expression" dxfId="1" priority="122">
      <formula>MOD(_xleta.ROW,2)=0</formula>
    </cfRule>
  </conditionalFormatting>
  <conditionalFormatting sqref="D62 D59:D60">
    <cfRule type="expression" dxfId="1" priority="50">
      <formula>MOD(ROW(),2)=0</formula>
    </cfRule>
    <cfRule type="expression" dxfId="1" priority="60">
      <formula>MOD(_xleta.ROW,2)=0</formula>
    </cfRule>
  </conditionalFormatting>
  <conditionalFormatting sqref="E59:I62">
    <cfRule type="expression" dxfId="1" priority="70">
      <formula>MOD(ROW(),2)=0</formula>
    </cfRule>
    <cfRule type="expression" dxfId="1" priority="80">
      <formula>MOD(_xleta.ROW,2)=0</formula>
    </cfRule>
  </conditionalFormatting>
  <conditionalFormatting sqref="J59:O62">
    <cfRule type="expression" dxfId="1" priority="90">
      <formula>MOD(ROW(),2)=0</formula>
    </cfRule>
    <cfRule type="expression" dxfId="1" priority="100">
      <formula>MOD(_xleta.ROW,2)=0</formula>
    </cfRule>
  </conditionalFormatting>
  <conditionalFormatting sqref="D66 D63:D64">
    <cfRule type="expression" dxfId="1" priority="49">
      <formula>MOD(ROW(),2)=0</formula>
    </cfRule>
    <cfRule type="expression" dxfId="1" priority="59">
      <formula>MOD(_xleta.ROW,2)=0</formula>
    </cfRule>
  </conditionalFormatting>
  <conditionalFormatting sqref="E63:I66">
    <cfRule type="expression" dxfId="1" priority="69">
      <formula>MOD(ROW(),2)=0</formula>
    </cfRule>
    <cfRule type="expression" dxfId="1" priority="79">
      <formula>MOD(_xleta.ROW,2)=0</formula>
    </cfRule>
  </conditionalFormatting>
  <conditionalFormatting sqref="J63:O66">
    <cfRule type="expression" dxfId="1" priority="89">
      <formula>MOD(ROW(),2)=0</formula>
    </cfRule>
    <cfRule type="expression" dxfId="1" priority="99">
      <formula>MOD(_xleta.ROW,2)=0</formula>
    </cfRule>
  </conditionalFormatting>
  <conditionalFormatting sqref="D70 D67:D68">
    <cfRule type="expression" dxfId="1" priority="48">
      <formula>MOD(ROW(),2)=0</formula>
    </cfRule>
    <cfRule type="expression" dxfId="1" priority="58">
      <formula>MOD(_xleta.ROW,2)=0</formula>
    </cfRule>
  </conditionalFormatting>
  <conditionalFormatting sqref="E67:I70">
    <cfRule type="expression" dxfId="1" priority="68">
      <formula>MOD(ROW(),2)=0</formula>
    </cfRule>
    <cfRule type="expression" dxfId="1" priority="78">
      <formula>MOD(_xleta.ROW,2)=0</formula>
    </cfRule>
  </conditionalFormatting>
  <conditionalFormatting sqref="J67:O70">
    <cfRule type="expression" dxfId="1" priority="88">
      <formula>MOD(ROW(),2)=0</formula>
    </cfRule>
    <cfRule type="expression" dxfId="1" priority="98">
      <formula>MOD(_xleta.ROW,2)=0</formula>
    </cfRule>
  </conditionalFormatting>
  <conditionalFormatting sqref="D74 D71:D72">
    <cfRule type="expression" dxfId="1" priority="47">
      <formula>MOD(ROW(),2)=0</formula>
    </cfRule>
    <cfRule type="expression" dxfId="1" priority="57">
      <formula>MOD(_xleta.ROW,2)=0</formula>
    </cfRule>
  </conditionalFormatting>
  <conditionalFormatting sqref="E71:I74">
    <cfRule type="expression" dxfId="1" priority="67">
      <formula>MOD(ROW(),2)=0</formula>
    </cfRule>
    <cfRule type="expression" dxfId="1" priority="77">
      <formula>MOD(_xleta.ROW,2)=0</formula>
    </cfRule>
  </conditionalFormatting>
  <conditionalFormatting sqref="J71:O74">
    <cfRule type="expression" dxfId="1" priority="87">
      <formula>MOD(ROW(),2)=0</formula>
    </cfRule>
    <cfRule type="expression" dxfId="1" priority="97">
      <formula>MOD(_xleta.ROW,2)=0</formula>
    </cfRule>
  </conditionalFormatting>
  <conditionalFormatting sqref="D78 D75:D76">
    <cfRule type="expression" dxfId="1" priority="46">
      <formula>MOD(ROW(),2)=0</formula>
    </cfRule>
    <cfRule type="expression" dxfId="1" priority="56">
      <formula>MOD(_xleta.ROW,2)=0</formula>
    </cfRule>
  </conditionalFormatting>
  <conditionalFormatting sqref="E75 E76:I78 G75:I75">
    <cfRule type="expression" dxfId="1" priority="66">
      <formula>MOD(ROW(),2)=0</formula>
    </cfRule>
    <cfRule type="expression" dxfId="1" priority="76">
      <formula>MOD(_xleta.ROW,2)=0</formula>
    </cfRule>
  </conditionalFormatting>
  <conditionalFormatting sqref="J75:O75 J77:O78 N76:O76 K76:L76">
    <cfRule type="expression" dxfId="1" priority="86">
      <formula>MOD(ROW(),2)=0</formula>
    </cfRule>
    <cfRule type="expression" dxfId="1" priority="96">
      <formula>MOD(_xleta.ROW,2)=0</formula>
    </cfRule>
  </conditionalFormatting>
  <conditionalFormatting sqref="D82 D79:D80">
    <cfRule type="expression" dxfId="1" priority="45">
      <formula>MOD(ROW(),2)=0</formula>
    </cfRule>
    <cfRule type="expression" dxfId="1" priority="55">
      <formula>MOD(_xleta.ROW,2)=0</formula>
    </cfRule>
  </conditionalFormatting>
  <conditionalFormatting sqref="E79:I82">
    <cfRule type="expression" dxfId="1" priority="65">
      <formula>MOD(ROW(),2)=0</formula>
    </cfRule>
    <cfRule type="expression" dxfId="1" priority="75">
      <formula>MOD(_xleta.ROW,2)=0</formula>
    </cfRule>
  </conditionalFormatting>
  <conditionalFormatting sqref="K79:L79 J80:O82 N79:O79">
    <cfRule type="expression" dxfId="1" priority="85">
      <formula>MOD(ROW(),2)=0</formula>
    </cfRule>
    <cfRule type="expression" dxfId="1" priority="95">
      <formula>MOD(_xleta.ROW,2)=0</formula>
    </cfRule>
  </conditionalFormatting>
  <conditionalFormatting sqref="D86 D83:D84">
    <cfRule type="expression" dxfId="1" priority="44">
      <formula>MOD(ROW(),2)=0</formula>
    </cfRule>
    <cfRule type="expression" dxfId="1" priority="54">
      <formula>MOD(_xleta.ROW,2)=0</formula>
    </cfRule>
  </conditionalFormatting>
  <conditionalFormatting sqref="E83:I86">
    <cfRule type="expression" dxfId="1" priority="64">
      <formula>MOD(ROW(),2)=0</formula>
    </cfRule>
    <cfRule type="expression" dxfId="1" priority="74">
      <formula>MOD(_xleta.ROW,2)=0</formula>
    </cfRule>
  </conditionalFormatting>
  <conditionalFormatting sqref="K83:L83 J84:O86 N83:O83">
    <cfRule type="expression" dxfId="1" priority="84">
      <formula>MOD(ROW(),2)=0</formula>
    </cfRule>
    <cfRule type="expression" dxfId="1" priority="94">
      <formula>MOD(_xleta.ROW,2)=0</formula>
    </cfRule>
  </conditionalFormatting>
  <conditionalFormatting sqref="D90 D87:D88">
    <cfRule type="expression" dxfId="1" priority="43">
      <formula>MOD(ROW(),2)=0</formula>
    </cfRule>
    <cfRule type="expression" dxfId="1" priority="53">
      <formula>MOD(_xleta.ROW,2)=0</formula>
    </cfRule>
  </conditionalFormatting>
  <conditionalFormatting sqref="E87:I90">
    <cfRule type="expression" dxfId="1" priority="63">
      <formula>MOD(ROW(),2)=0</formula>
    </cfRule>
    <cfRule type="expression" dxfId="1" priority="73">
      <formula>MOD(_xleta.ROW,2)=0</formula>
    </cfRule>
  </conditionalFormatting>
  <conditionalFormatting sqref="J87:O90">
    <cfRule type="expression" dxfId="1" priority="83">
      <formula>MOD(ROW(),2)=0</formula>
    </cfRule>
    <cfRule type="expression" dxfId="1" priority="93">
      <formula>MOD(_xleta.ROW,2)=0</formula>
    </cfRule>
  </conditionalFormatting>
  <conditionalFormatting sqref="D94 D91:D92">
    <cfRule type="expression" dxfId="1" priority="42">
      <formula>MOD(ROW(),2)=0</formula>
    </cfRule>
    <cfRule type="expression" dxfId="1" priority="52">
      <formula>MOD(_xleta.ROW,2)=0</formula>
    </cfRule>
  </conditionalFormatting>
  <conditionalFormatting sqref="E91:I94">
    <cfRule type="expression" dxfId="1" priority="62">
      <formula>MOD(ROW(),2)=0</formula>
    </cfRule>
    <cfRule type="expression" dxfId="1" priority="72">
      <formula>MOD(_xleta.ROW,2)=0</formula>
    </cfRule>
  </conditionalFormatting>
  <conditionalFormatting sqref="J91:O94">
    <cfRule type="expression" dxfId="1" priority="82">
      <formula>MOD(ROW(),2)=0</formula>
    </cfRule>
    <cfRule type="expression" dxfId="1" priority="92">
      <formula>MOD(_xleta.ROW,2)=0</formula>
    </cfRule>
  </conditionalFormatting>
  <conditionalFormatting sqref="D98 D95:D96">
    <cfRule type="expression" dxfId="1" priority="41">
      <formula>MOD(ROW(),2)=0</formula>
    </cfRule>
    <cfRule type="expression" dxfId="1" priority="51">
      <formula>MOD(_xleta.ROW,2)=0</formula>
    </cfRule>
  </conditionalFormatting>
  <conditionalFormatting sqref="E95:I98">
    <cfRule type="expression" dxfId="1" priority="61">
      <formula>MOD(ROW(),2)=0</formula>
    </cfRule>
    <cfRule type="expression" dxfId="1" priority="71">
      <formula>MOD(_xleta.ROW,2)=0</formula>
    </cfRule>
  </conditionalFormatting>
  <conditionalFormatting sqref="J95:O98">
    <cfRule type="expression" dxfId="1" priority="81">
      <formula>MOD(ROW(),2)=0</formula>
    </cfRule>
    <cfRule type="expression" dxfId="1" priority="91">
      <formula>MOD(_xleta.ROW,2)=0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X46"/>
  <sheetViews>
    <sheetView zoomScale="85" zoomScaleNormal="85" workbookViewId="0">
      <selection activeCell="H20" sqref="H20"/>
    </sheetView>
  </sheetViews>
  <sheetFormatPr defaultColWidth="9" defaultRowHeight="14.5"/>
  <cols>
    <col min="1" max="2" width="21.1333333333333" style="1" customWidth="1"/>
    <col min="3" max="3" width="23.1333333333333" style="1" customWidth="1"/>
    <col min="4" max="4" width="34.5" style="1" customWidth="1"/>
    <col min="5" max="5" width="15.5" style="1" customWidth="1"/>
    <col min="6" max="6" width="16.6333333333333" style="2" customWidth="1"/>
    <col min="7" max="7" width="13.25" style="1" customWidth="1" outlineLevel="7"/>
    <col min="8" max="8" width="11.75" style="1" customWidth="1" outlineLevel="7"/>
    <col min="9" max="9" width="20.1333333333333" style="1" customWidth="1" outlineLevel="7"/>
    <col min="10" max="10" width="11.1333333333333" style="1" customWidth="1" outlineLevel="7"/>
    <col min="11" max="11" width="11.25" style="1" customWidth="1" outlineLevel="7"/>
    <col min="12" max="12" width="19.6333333333333" style="1" customWidth="1" outlineLevel="7"/>
    <col min="13" max="13" width="11.1333333333333" style="1" customWidth="1" outlineLevel="5"/>
    <col min="14" max="14" width="11.25" style="1" customWidth="1" outlineLevel="5"/>
    <col min="15" max="15" width="21.6333333333333" style="1" customWidth="1" outlineLevel="5"/>
    <col min="16" max="16" width="11.1333333333333" style="1" customWidth="1" outlineLevel="4"/>
    <col min="17" max="17" width="11.25" style="1" customWidth="1" outlineLevel="4"/>
    <col min="18" max="18" width="22.1333333333333" style="1" customWidth="1" outlineLevel="4"/>
    <col min="19" max="19" width="11.1333333333333" style="1" customWidth="1" outlineLevel="3"/>
    <col min="20" max="20" width="11.25" style="1" customWidth="1" outlineLevel="3"/>
    <col min="21" max="21" width="21.8833333333333" style="1" customWidth="1" outlineLevel="3"/>
    <col min="22" max="22" width="11.1333333333333" style="1" customWidth="1" outlineLevel="2"/>
    <col min="23" max="23" width="11.25" style="1" customWidth="1" outlineLevel="2"/>
    <col min="24" max="24" width="19.6333333333333" style="1" customWidth="1" outlineLevel="2"/>
    <col min="25" max="16384" width="9" style="1"/>
  </cols>
  <sheetData>
    <row r="3" ht="26.25" customHeight="1" spans="3:24">
      <c r="C3" s="3" t="s">
        <v>2</v>
      </c>
      <c r="D3" s="4" t="s">
        <v>115</v>
      </c>
      <c r="E3" s="4"/>
      <c r="F3" s="4"/>
      <c r="G3" s="4"/>
      <c r="H3" s="4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6.25" customHeight="1" spans="3:24">
      <c r="C4" s="6"/>
      <c r="D4" s="7" t="s">
        <v>116</v>
      </c>
      <c r="E4" s="6"/>
      <c r="F4" s="7"/>
      <c r="G4" s="6"/>
      <c r="H4" s="6"/>
      <c r="I4" s="8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1" customHeight="1" spans="3:24">
      <c r="C5" s="10"/>
      <c r="D5" s="11"/>
      <c r="E5" s="11"/>
      <c r="F5" s="12" t="s">
        <v>117</v>
      </c>
      <c r="G5" s="13" t="s">
        <v>1131</v>
      </c>
      <c r="H5" s="14"/>
      <c r="I5" s="15"/>
      <c r="J5" s="13" t="s">
        <v>1132</v>
      </c>
      <c r="K5" s="14"/>
      <c r="L5" s="15"/>
      <c r="M5" s="13" t="s">
        <v>1133</v>
      </c>
      <c r="N5" s="14"/>
      <c r="O5" s="15"/>
      <c r="P5" s="13" t="s">
        <v>1134</v>
      </c>
      <c r="Q5" s="14"/>
      <c r="R5" s="15"/>
      <c r="S5" s="13" t="s">
        <v>1135</v>
      </c>
      <c r="T5" s="14"/>
      <c r="U5" s="15"/>
      <c r="V5" s="13" t="s">
        <v>1136</v>
      </c>
      <c r="W5" s="14"/>
      <c r="X5" s="15"/>
    </row>
    <row r="6" ht="18" customHeight="1" spans="3:24">
      <c r="C6" s="16"/>
      <c r="D6" s="16"/>
      <c r="E6" s="16"/>
      <c r="F6" s="17" t="s">
        <v>922</v>
      </c>
      <c r="G6" s="18" t="s">
        <v>923</v>
      </c>
      <c r="H6" s="116" t="s">
        <v>924</v>
      </c>
      <c r="I6" s="20"/>
      <c r="J6" s="18" t="s">
        <v>923</v>
      </c>
      <c r="K6" s="116" t="s">
        <v>924</v>
      </c>
      <c r="L6" s="20"/>
      <c r="M6" s="18" t="s">
        <v>923</v>
      </c>
      <c r="N6" s="116" t="s">
        <v>924</v>
      </c>
      <c r="O6" s="20"/>
      <c r="P6" s="18" t="s">
        <v>923</v>
      </c>
      <c r="Q6" s="116" t="s">
        <v>924</v>
      </c>
      <c r="R6" s="20"/>
      <c r="S6" s="18" t="s">
        <v>923</v>
      </c>
      <c r="T6" s="116" t="s">
        <v>924</v>
      </c>
      <c r="U6" s="20"/>
      <c r="V6" s="18" t="s">
        <v>923</v>
      </c>
      <c r="W6" s="116" t="s">
        <v>924</v>
      </c>
      <c r="X6" s="20"/>
    </row>
    <row r="7" ht="18" customHeight="1" spans="3:24">
      <c r="C7" s="16"/>
      <c r="D7" s="16"/>
      <c r="E7" s="16"/>
      <c r="F7" s="17" t="s">
        <v>929</v>
      </c>
      <c r="G7" s="21">
        <v>30</v>
      </c>
      <c r="H7" s="22" t="s">
        <v>930</v>
      </c>
      <c r="I7" s="20"/>
      <c r="J7" s="21">
        <v>30</v>
      </c>
      <c r="K7" s="22" t="s">
        <v>930</v>
      </c>
      <c r="L7" s="20"/>
      <c r="M7" s="21">
        <v>30</v>
      </c>
      <c r="N7" s="22" t="s">
        <v>930</v>
      </c>
      <c r="O7" s="20"/>
      <c r="P7" s="21">
        <v>30</v>
      </c>
      <c r="Q7" s="22" t="s">
        <v>930</v>
      </c>
      <c r="R7" s="20"/>
      <c r="S7" s="21">
        <v>30</v>
      </c>
      <c r="T7" s="22" t="s">
        <v>930</v>
      </c>
      <c r="U7" s="20"/>
      <c r="V7" s="21">
        <v>30</v>
      </c>
      <c r="W7" s="22" t="s">
        <v>930</v>
      </c>
      <c r="X7" s="20"/>
    </row>
    <row r="8" ht="18" customHeight="1" spans="3:24">
      <c r="C8" s="16"/>
      <c r="D8" s="16"/>
      <c r="E8" s="16"/>
      <c r="F8" s="17" t="s">
        <v>931</v>
      </c>
      <c r="G8" s="23" t="s">
        <v>932</v>
      </c>
      <c r="H8" s="22">
        <v>10</v>
      </c>
      <c r="I8" s="20"/>
      <c r="J8" s="23" t="s">
        <v>932</v>
      </c>
      <c r="K8" s="22">
        <v>10</v>
      </c>
      <c r="L8" s="20"/>
      <c r="M8" s="23" t="s">
        <v>932</v>
      </c>
      <c r="N8" s="22">
        <v>10</v>
      </c>
      <c r="O8" s="20"/>
      <c r="P8" s="23" t="s">
        <v>932</v>
      </c>
      <c r="Q8" s="22">
        <v>10</v>
      </c>
      <c r="R8" s="20"/>
      <c r="S8" s="23" t="s">
        <v>932</v>
      </c>
      <c r="T8" s="22">
        <v>10</v>
      </c>
      <c r="U8" s="20"/>
      <c r="V8" s="23" t="s">
        <v>932</v>
      </c>
      <c r="W8" s="22">
        <v>10</v>
      </c>
      <c r="X8" s="20"/>
    </row>
    <row r="9" ht="18" customHeight="1" spans="3:24">
      <c r="C9" s="16"/>
      <c r="D9" s="16"/>
      <c r="E9" s="16"/>
      <c r="F9" s="17" t="s">
        <v>1137</v>
      </c>
      <c r="G9" s="18">
        <v>2</v>
      </c>
      <c r="H9" s="22" t="s">
        <v>1138</v>
      </c>
      <c r="I9" s="24"/>
      <c r="J9" s="18">
        <v>2</v>
      </c>
      <c r="K9" s="22" t="s">
        <v>1138</v>
      </c>
      <c r="L9" s="24"/>
      <c r="M9" s="18">
        <v>2</v>
      </c>
      <c r="N9" s="22" t="s">
        <v>1138</v>
      </c>
      <c r="O9" s="24"/>
      <c r="P9" s="18">
        <v>2</v>
      </c>
      <c r="Q9" s="22" t="s">
        <v>1138</v>
      </c>
      <c r="R9" s="24"/>
      <c r="S9" s="18">
        <v>2</v>
      </c>
      <c r="T9" s="22" t="s">
        <v>1138</v>
      </c>
      <c r="U9" s="24"/>
      <c r="V9" s="18">
        <v>2</v>
      </c>
      <c r="W9" s="22" t="s">
        <v>1138</v>
      </c>
      <c r="X9" s="24"/>
    </row>
    <row r="10" ht="18" customHeight="1" spans="3:24">
      <c r="C10" s="16"/>
      <c r="D10" s="16"/>
      <c r="E10" s="16"/>
      <c r="F10" s="25"/>
      <c r="G10" s="26"/>
      <c r="H10" s="27"/>
      <c r="I10" s="28"/>
      <c r="J10" s="26"/>
      <c r="K10" s="27"/>
      <c r="L10" s="28"/>
      <c r="M10" s="26"/>
      <c r="N10" s="27"/>
      <c r="O10" s="28"/>
      <c r="P10" s="26"/>
      <c r="Q10" s="27"/>
      <c r="R10" s="28"/>
      <c r="S10" s="26"/>
      <c r="T10" s="27"/>
      <c r="U10" s="28"/>
      <c r="V10" s="26"/>
      <c r="W10" s="27"/>
      <c r="X10" s="28"/>
    </row>
    <row r="11" ht="23.25" customHeight="1" spans="3:24">
      <c r="C11" s="29" t="s">
        <v>125</v>
      </c>
      <c r="D11" s="30" t="s">
        <v>126</v>
      </c>
      <c r="E11" s="30" t="s">
        <v>127</v>
      </c>
      <c r="F11" s="30" t="s">
        <v>128</v>
      </c>
      <c r="G11" s="31" t="s">
        <v>129</v>
      </c>
      <c r="H11" s="30" t="s">
        <v>130</v>
      </c>
      <c r="I11" s="32" t="s">
        <v>131</v>
      </c>
      <c r="J11" s="30" t="s">
        <v>129</v>
      </c>
      <c r="K11" s="30" t="s">
        <v>130</v>
      </c>
      <c r="L11" s="32" t="s">
        <v>131</v>
      </c>
      <c r="M11" s="30" t="s">
        <v>129</v>
      </c>
      <c r="N11" s="30" t="s">
        <v>130</v>
      </c>
      <c r="O11" s="32" t="s">
        <v>131</v>
      </c>
      <c r="P11" s="30" t="s">
        <v>129</v>
      </c>
      <c r="Q11" s="30" t="s">
        <v>130</v>
      </c>
      <c r="R11" s="32" t="s">
        <v>131</v>
      </c>
      <c r="S11" s="30" t="s">
        <v>129</v>
      </c>
      <c r="T11" s="30" t="s">
        <v>130</v>
      </c>
      <c r="U11" s="32" t="s">
        <v>131</v>
      </c>
      <c r="V11" s="30" t="s">
        <v>129</v>
      </c>
      <c r="W11" s="30" t="s">
        <v>130</v>
      </c>
      <c r="X11" s="32" t="s">
        <v>131</v>
      </c>
    </row>
    <row r="12" ht="15" customHeight="1" spans="3:24">
      <c r="C12" s="33" t="s">
        <v>1139</v>
      </c>
      <c r="D12" s="34"/>
      <c r="E12" s="34"/>
      <c r="F12" s="35"/>
      <c r="G12" s="36"/>
      <c r="H12" s="34"/>
      <c r="I12" s="35"/>
      <c r="J12" s="36"/>
      <c r="K12" s="34"/>
      <c r="L12" s="35"/>
      <c r="M12" s="36"/>
      <c r="N12" s="34"/>
      <c r="O12" s="35"/>
      <c r="P12" s="36"/>
      <c r="Q12" s="34"/>
      <c r="R12" s="35"/>
      <c r="S12" s="36"/>
      <c r="T12" s="34"/>
      <c r="U12" s="35"/>
      <c r="V12" s="36"/>
      <c r="W12" s="34"/>
      <c r="X12" s="37"/>
    </row>
    <row r="13" ht="15" customHeight="1" spans="3:24">
      <c r="C13" s="38"/>
      <c r="D13" s="39" t="s">
        <v>787</v>
      </c>
      <c r="E13" s="40" t="s">
        <v>788</v>
      </c>
      <c r="F13" s="41" t="s">
        <v>38</v>
      </c>
      <c r="G13" s="42" t="s">
        <v>90</v>
      </c>
      <c r="H13" s="43"/>
      <c r="I13" s="44"/>
      <c r="J13" s="42" t="s">
        <v>90</v>
      </c>
      <c r="K13" s="45"/>
      <c r="L13" s="44"/>
      <c r="M13" s="46" t="s">
        <v>90</v>
      </c>
      <c r="N13" s="45"/>
      <c r="O13" s="44"/>
      <c r="P13" s="46" t="s">
        <v>90</v>
      </c>
      <c r="Q13" s="45"/>
      <c r="R13" s="44"/>
      <c r="S13" s="46" t="s">
        <v>90</v>
      </c>
      <c r="T13" s="45"/>
      <c r="U13" s="44"/>
      <c r="V13" s="42" t="s">
        <v>90</v>
      </c>
      <c r="W13" s="16"/>
      <c r="X13" s="44"/>
    </row>
    <row r="14" ht="15" customHeight="1" spans="3:24">
      <c r="C14" s="38"/>
      <c r="D14" s="47" t="s">
        <v>1140</v>
      </c>
      <c r="E14" s="48" t="s">
        <v>1141</v>
      </c>
      <c r="F14" s="49" t="s">
        <v>38</v>
      </c>
      <c r="G14" s="42" t="s">
        <v>38</v>
      </c>
      <c r="H14" s="50"/>
      <c r="I14" s="51"/>
      <c r="J14" s="42" t="s">
        <v>38</v>
      </c>
      <c r="K14" s="16"/>
      <c r="L14" s="51"/>
      <c r="M14" s="46" t="s">
        <v>38</v>
      </c>
      <c r="N14" s="16"/>
      <c r="O14" s="51"/>
      <c r="P14" s="46" t="s">
        <v>38</v>
      </c>
      <c r="Q14" s="16"/>
      <c r="R14" s="51"/>
      <c r="S14" s="46" t="s">
        <v>38</v>
      </c>
      <c r="T14" s="52"/>
      <c r="U14" s="53"/>
      <c r="V14" s="46" t="s">
        <v>38</v>
      </c>
      <c r="W14" s="16"/>
      <c r="X14" s="51"/>
    </row>
    <row r="15" ht="15" customHeight="1" spans="3:24">
      <c r="C15" s="38"/>
      <c r="D15" s="39" t="s">
        <v>1142</v>
      </c>
      <c r="E15" s="48" t="s">
        <v>1143</v>
      </c>
      <c r="F15" s="49" t="s">
        <v>20</v>
      </c>
      <c r="G15" s="42" t="s">
        <v>802</v>
      </c>
      <c r="H15" s="50"/>
      <c r="I15" s="51"/>
      <c r="J15" s="42" t="s">
        <v>802</v>
      </c>
      <c r="K15" s="16"/>
      <c r="L15" s="51"/>
      <c r="M15" s="46" t="s">
        <v>802</v>
      </c>
      <c r="N15" s="16"/>
      <c r="O15" s="51"/>
      <c r="P15" s="46" t="s">
        <v>802</v>
      </c>
      <c r="Q15" s="16"/>
      <c r="R15" s="51"/>
      <c r="S15" s="46" t="s">
        <v>802</v>
      </c>
      <c r="T15" s="52"/>
      <c r="U15" s="53"/>
      <c r="V15" s="46" t="s">
        <v>802</v>
      </c>
      <c r="W15" s="16"/>
      <c r="X15" s="51"/>
    </row>
    <row r="16" ht="15" customHeight="1" spans="3:24">
      <c r="C16" s="38"/>
      <c r="D16" s="47" t="s">
        <v>1144</v>
      </c>
      <c r="E16" s="40" t="s">
        <v>1145</v>
      </c>
      <c r="F16" s="49" t="s">
        <v>17</v>
      </c>
      <c r="G16" s="42" t="s">
        <v>988</v>
      </c>
      <c r="H16" s="43"/>
      <c r="I16" s="44"/>
      <c r="J16" s="42" t="s">
        <v>988</v>
      </c>
      <c r="K16" s="45"/>
      <c r="L16" s="44"/>
      <c r="M16" s="46" t="s">
        <v>988</v>
      </c>
      <c r="N16" s="45"/>
      <c r="O16" s="44"/>
      <c r="P16" s="46" t="s">
        <v>988</v>
      </c>
      <c r="Q16" s="45"/>
      <c r="R16" s="44"/>
      <c r="S16" s="46" t="s">
        <v>988</v>
      </c>
      <c r="T16" s="45"/>
      <c r="U16" s="44"/>
      <c r="V16" s="42" t="s">
        <v>988</v>
      </c>
      <c r="W16" s="16"/>
      <c r="X16" s="44"/>
    </row>
    <row r="17" ht="15" customHeight="1" spans="3:24">
      <c r="C17" s="38"/>
      <c r="D17" s="39" t="s">
        <v>1146</v>
      </c>
      <c r="E17" s="48" t="s">
        <v>1147</v>
      </c>
      <c r="F17" s="49" t="s">
        <v>364</v>
      </c>
      <c r="G17" s="42" t="s">
        <v>467</v>
      </c>
      <c r="H17" s="50"/>
      <c r="I17" s="51"/>
      <c r="J17" s="42" t="s">
        <v>467</v>
      </c>
      <c r="K17" s="16"/>
      <c r="L17" s="51"/>
      <c r="M17" s="46" t="s">
        <v>467</v>
      </c>
      <c r="N17" s="16"/>
      <c r="O17" s="51"/>
      <c r="P17" s="46" t="s">
        <v>467</v>
      </c>
      <c r="Q17" s="16"/>
      <c r="R17" s="51"/>
      <c r="S17" s="46" t="s">
        <v>467</v>
      </c>
      <c r="T17" s="52"/>
      <c r="U17" s="53"/>
      <c r="V17" s="46" t="s">
        <v>467</v>
      </c>
      <c r="W17" s="16"/>
      <c r="X17" s="51"/>
    </row>
    <row r="18" ht="15" customHeight="1" spans="3:24">
      <c r="C18" s="38"/>
      <c r="D18" s="47" t="s">
        <v>1148</v>
      </c>
      <c r="E18" s="48" t="s">
        <v>1149</v>
      </c>
      <c r="F18" s="49" t="s">
        <v>220</v>
      </c>
      <c r="G18" s="42" t="s">
        <v>234</v>
      </c>
      <c r="H18" s="50"/>
      <c r="I18" s="51"/>
      <c r="J18" s="42" t="s">
        <v>234</v>
      </c>
      <c r="K18" s="16"/>
      <c r="L18" s="51"/>
      <c r="M18" s="46" t="s">
        <v>234</v>
      </c>
      <c r="N18" s="16"/>
      <c r="O18" s="51"/>
      <c r="P18" s="46" t="s">
        <v>234</v>
      </c>
      <c r="Q18" s="16"/>
      <c r="R18" s="51"/>
      <c r="S18" s="46" t="s">
        <v>234</v>
      </c>
      <c r="T18" s="52"/>
      <c r="U18" s="53"/>
      <c r="V18" s="46" t="s">
        <v>234</v>
      </c>
      <c r="W18" s="16"/>
      <c r="X18" s="51"/>
    </row>
    <row r="19" ht="15" customHeight="1" spans="3:24">
      <c r="C19" s="38"/>
      <c r="D19" s="39" t="s">
        <v>1150</v>
      </c>
      <c r="E19" s="40" t="s">
        <v>1151</v>
      </c>
      <c r="F19" s="49" t="s">
        <v>20</v>
      </c>
      <c r="G19" s="42" t="s">
        <v>1152</v>
      </c>
      <c r="H19" s="43"/>
      <c r="I19" s="44"/>
      <c r="J19" s="42" t="s">
        <v>1152</v>
      </c>
      <c r="K19" s="45"/>
      <c r="L19" s="44"/>
      <c r="M19" s="46" t="s">
        <v>1152</v>
      </c>
      <c r="N19" s="45"/>
      <c r="O19" s="44"/>
      <c r="P19" s="46" t="s">
        <v>1152</v>
      </c>
      <c r="Q19" s="45"/>
      <c r="R19" s="44"/>
      <c r="S19" s="46" t="s">
        <v>1152</v>
      </c>
      <c r="T19" s="45"/>
      <c r="U19" s="44"/>
      <c r="V19" s="42" t="s">
        <v>1152</v>
      </c>
      <c r="W19" s="16"/>
      <c r="X19" s="44"/>
    </row>
    <row r="20" ht="15" customHeight="1" spans="3:24">
      <c r="C20" s="38"/>
      <c r="D20" s="47" t="s">
        <v>1153</v>
      </c>
      <c r="E20" s="48" t="s">
        <v>1154</v>
      </c>
      <c r="F20" s="49" t="s">
        <v>38</v>
      </c>
      <c r="G20" s="42" t="s">
        <v>38</v>
      </c>
      <c r="H20" s="50"/>
      <c r="I20" s="51"/>
      <c r="J20" s="42" t="s">
        <v>38</v>
      </c>
      <c r="K20" s="16"/>
      <c r="L20" s="51"/>
      <c r="M20" s="46" t="s">
        <v>38</v>
      </c>
      <c r="N20" s="16"/>
      <c r="O20" s="51"/>
      <c r="P20" s="46" t="s">
        <v>38</v>
      </c>
      <c r="Q20" s="16"/>
      <c r="R20" s="51"/>
      <c r="S20" s="46" t="s">
        <v>38</v>
      </c>
      <c r="T20" s="52"/>
      <c r="U20" s="53"/>
      <c r="V20" s="46" t="s">
        <v>38</v>
      </c>
      <c r="W20" s="16"/>
      <c r="X20" s="51"/>
    </row>
    <row r="21" ht="15" customHeight="1" spans="3:24">
      <c r="C21" s="38"/>
      <c r="D21" s="39" t="s">
        <v>1155</v>
      </c>
      <c r="E21" s="48" t="s">
        <v>1156</v>
      </c>
      <c r="F21" s="49" t="s">
        <v>802</v>
      </c>
      <c r="G21" s="42" t="s">
        <v>1157</v>
      </c>
      <c r="H21" s="50"/>
      <c r="I21" s="51"/>
      <c r="J21" s="42" t="s">
        <v>1157</v>
      </c>
      <c r="K21" s="16"/>
      <c r="L21" s="51"/>
      <c r="M21" s="46" t="s">
        <v>1157</v>
      </c>
      <c r="N21" s="16"/>
      <c r="O21" s="51"/>
      <c r="P21" s="46" t="s">
        <v>1157</v>
      </c>
      <c r="Q21" s="16"/>
      <c r="R21" s="51"/>
      <c r="S21" s="46" t="s">
        <v>1157</v>
      </c>
      <c r="T21" s="52"/>
      <c r="U21" s="53"/>
      <c r="V21" s="46" t="s">
        <v>1157</v>
      </c>
      <c r="W21" s="16"/>
      <c r="X21" s="51"/>
    </row>
    <row r="22" ht="15" customHeight="1" spans="3:24">
      <c r="C22" s="38"/>
      <c r="D22" s="47" t="s">
        <v>1158</v>
      </c>
      <c r="E22" s="40" t="s">
        <v>1159</v>
      </c>
      <c r="F22" s="41" t="s">
        <v>38</v>
      </c>
      <c r="G22" s="42" t="s">
        <v>1160</v>
      </c>
      <c r="H22" s="43"/>
      <c r="I22" s="44"/>
      <c r="J22" s="42" t="s">
        <v>1160</v>
      </c>
      <c r="K22" s="45"/>
      <c r="L22" s="44"/>
      <c r="M22" s="46" t="s">
        <v>1160</v>
      </c>
      <c r="N22" s="45"/>
      <c r="O22" s="44"/>
      <c r="P22" s="46" t="s">
        <v>1160</v>
      </c>
      <c r="Q22" s="45"/>
      <c r="R22" s="44"/>
      <c r="S22" s="46" t="s">
        <v>1160</v>
      </c>
      <c r="T22" s="45"/>
      <c r="U22" s="44"/>
      <c r="V22" s="42" t="s">
        <v>1160</v>
      </c>
      <c r="W22" s="16"/>
      <c r="X22" s="44"/>
    </row>
    <row r="23" ht="15" customHeight="1" spans="3:24">
      <c r="C23" s="38"/>
      <c r="D23" s="39" t="s">
        <v>1161</v>
      </c>
      <c r="E23" s="48" t="s">
        <v>1162</v>
      </c>
      <c r="F23" s="49" t="s">
        <v>38</v>
      </c>
      <c r="G23" s="42" t="s">
        <v>35</v>
      </c>
      <c r="H23" s="50"/>
      <c r="I23" s="51"/>
      <c r="J23" s="42" t="s">
        <v>35</v>
      </c>
      <c r="K23" s="16"/>
      <c r="L23" s="51"/>
      <c r="M23" s="46" t="s">
        <v>35</v>
      </c>
      <c r="N23" s="16"/>
      <c r="O23" s="51"/>
      <c r="P23" s="46" t="s">
        <v>35</v>
      </c>
      <c r="Q23" s="16"/>
      <c r="R23" s="51"/>
      <c r="S23" s="46" t="s">
        <v>35</v>
      </c>
      <c r="T23" s="52"/>
      <c r="U23" s="53"/>
      <c r="V23" s="46" t="s">
        <v>35</v>
      </c>
      <c r="W23" s="16"/>
      <c r="X23" s="51"/>
    </row>
    <row r="24" ht="15" customHeight="1" spans="3:24">
      <c r="C24" s="38"/>
      <c r="D24" s="47" t="s">
        <v>1163</v>
      </c>
      <c r="E24" s="48" t="s">
        <v>89</v>
      </c>
      <c r="F24" s="49" t="s">
        <v>35</v>
      </c>
      <c r="G24" s="42" t="s">
        <v>90</v>
      </c>
      <c r="H24" s="50"/>
      <c r="I24" s="51"/>
      <c r="J24" s="42" t="s">
        <v>90</v>
      </c>
      <c r="K24" s="16"/>
      <c r="L24" s="51"/>
      <c r="M24" s="42" t="s">
        <v>90</v>
      </c>
      <c r="N24" s="16"/>
      <c r="O24" s="51"/>
      <c r="P24" s="42" t="s">
        <v>90</v>
      </c>
      <c r="Q24" s="16"/>
      <c r="R24" s="51"/>
      <c r="S24" s="42" t="s">
        <v>90</v>
      </c>
      <c r="T24" s="52"/>
      <c r="U24" s="53"/>
      <c r="V24" s="42" t="s">
        <v>90</v>
      </c>
      <c r="W24" s="16"/>
      <c r="X24" s="51"/>
    </row>
    <row r="25" ht="15" customHeight="1" spans="3:24">
      <c r="C25" s="38"/>
      <c r="D25" s="39" t="s">
        <v>1164</v>
      </c>
      <c r="E25" s="40" t="s">
        <v>1165</v>
      </c>
      <c r="F25" s="41" t="s">
        <v>38</v>
      </c>
      <c r="G25" s="42" t="s">
        <v>38</v>
      </c>
      <c r="H25" s="43"/>
      <c r="I25" s="44"/>
      <c r="J25" s="42" t="s">
        <v>35</v>
      </c>
      <c r="K25" s="45"/>
      <c r="L25" s="44"/>
      <c r="M25" s="46" t="s">
        <v>35</v>
      </c>
      <c r="N25" s="45"/>
      <c r="O25" s="44"/>
      <c r="P25" s="46" t="s">
        <v>35</v>
      </c>
      <c r="Q25" s="45"/>
      <c r="R25" s="44"/>
      <c r="S25" s="46" t="s">
        <v>35</v>
      </c>
      <c r="T25" s="45"/>
      <c r="U25" s="44"/>
      <c r="V25" s="42" t="s">
        <v>35</v>
      </c>
      <c r="W25" s="16"/>
      <c r="X25" s="44"/>
    </row>
    <row r="26" ht="15" customHeight="1" spans="3:24">
      <c r="C26" s="38"/>
      <c r="D26" s="54" t="s">
        <v>1166</v>
      </c>
      <c r="E26" s="48" t="s">
        <v>1167</v>
      </c>
      <c r="F26" s="49" t="s">
        <v>38</v>
      </c>
      <c r="G26" s="42" t="s">
        <v>38</v>
      </c>
      <c r="H26" s="50"/>
      <c r="I26" s="51"/>
      <c r="J26" s="42" t="s">
        <v>275</v>
      </c>
      <c r="K26" s="16"/>
      <c r="L26" s="51"/>
      <c r="M26" s="46" t="s">
        <v>38</v>
      </c>
      <c r="N26" s="16"/>
      <c r="O26" s="51"/>
      <c r="P26" s="46" t="s">
        <v>275</v>
      </c>
      <c r="Q26" s="16"/>
      <c r="R26" s="51"/>
      <c r="S26" s="46" t="s">
        <v>38</v>
      </c>
      <c r="T26" s="52"/>
      <c r="U26" s="53"/>
      <c r="V26" s="46" t="s">
        <v>38</v>
      </c>
      <c r="W26" s="16"/>
      <c r="X26" s="51"/>
    </row>
    <row r="27" ht="15" customHeight="1" spans="3:24">
      <c r="C27" s="38"/>
      <c r="D27" s="54" t="s">
        <v>1168</v>
      </c>
      <c r="E27" s="48" t="s">
        <v>1169</v>
      </c>
      <c r="F27" s="49" t="s">
        <v>90</v>
      </c>
      <c r="G27" s="42" t="s">
        <v>90</v>
      </c>
      <c r="H27" s="50"/>
      <c r="I27" s="51"/>
      <c r="J27" s="42" t="s">
        <v>220</v>
      </c>
      <c r="K27" s="16"/>
      <c r="L27" s="51"/>
      <c r="M27" s="46" t="s">
        <v>38</v>
      </c>
      <c r="N27" s="16"/>
      <c r="O27" s="51"/>
      <c r="P27" s="46" t="s">
        <v>220</v>
      </c>
      <c r="Q27" s="16"/>
      <c r="R27" s="51"/>
      <c r="S27" s="46" t="s">
        <v>38</v>
      </c>
      <c r="T27" s="52"/>
      <c r="U27" s="53"/>
      <c r="V27" s="46" t="s">
        <v>38</v>
      </c>
      <c r="W27" s="16"/>
      <c r="X27" s="51"/>
    </row>
    <row r="28" ht="15" customHeight="1" spans="3:24">
      <c r="C28" s="38"/>
      <c r="D28" s="54" t="s">
        <v>1170</v>
      </c>
      <c r="E28" s="40" t="s">
        <v>1171</v>
      </c>
      <c r="F28" s="41" t="s">
        <v>38</v>
      </c>
      <c r="G28" s="42" t="s">
        <v>38</v>
      </c>
      <c r="H28" s="43"/>
      <c r="I28" s="44"/>
      <c r="J28" s="42" t="s">
        <v>275</v>
      </c>
      <c r="K28" s="45"/>
      <c r="L28" s="44"/>
      <c r="M28" s="46" t="s">
        <v>38</v>
      </c>
      <c r="N28" s="45"/>
      <c r="O28" s="44"/>
      <c r="P28" s="46" t="s">
        <v>38</v>
      </c>
      <c r="Q28" s="45"/>
      <c r="R28" s="44"/>
      <c r="S28" s="46" t="s">
        <v>275</v>
      </c>
      <c r="T28" s="45"/>
      <c r="U28" s="44"/>
      <c r="V28" s="42" t="s">
        <v>38</v>
      </c>
      <c r="W28" s="16"/>
      <c r="X28" s="44"/>
    </row>
    <row r="29" ht="15" customHeight="1" spans="3:24">
      <c r="C29" s="38"/>
      <c r="D29" s="54" t="s">
        <v>1172</v>
      </c>
      <c r="E29" s="48" t="s">
        <v>1173</v>
      </c>
      <c r="F29" s="49" t="s">
        <v>90</v>
      </c>
      <c r="G29" s="42" t="s">
        <v>90</v>
      </c>
      <c r="H29" s="50"/>
      <c r="I29" s="51"/>
      <c r="J29" s="42" t="s">
        <v>220</v>
      </c>
      <c r="K29" s="16"/>
      <c r="L29" s="51"/>
      <c r="M29" s="46" t="s">
        <v>38</v>
      </c>
      <c r="N29" s="16"/>
      <c r="O29" s="51"/>
      <c r="P29" s="46" t="s">
        <v>38</v>
      </c>
      <c r="Q29" s="16"/>
      <c r="R29" s="51"/>
      <c r="S29" s="46" t="s">
        <v>220</v>
      </c>
      <c r="T29" s="52"/>
      <c r="U29" s="53"/>
      <c r="V29" s="46" t="s">
        <v>38</v>
      </c>
      <c r="W29" s="16"/>
      <c r="X29" s="51"/>
    </row>
    <row r="30" ht="15" customHeight="1" spans="3:24">
      <c r="C30" s="38"/>
      <c r="D30" s="54" t="s">
        <v>1174</v>
      </c>
      <c r="E30" s="48" t="s">
        <v>1175</v>
      </c>
      <c r="F30" s="49" t="s">
        <v>38</v>
      </c>
      <c r="G30" s="42" t="s">
        <v>38</v>
      </c>
      <c r="H30" s="50"/>
      <c r="I30" s="51"/>
      <c r="J30" s="42" t="s">
        <v>275</v>
      </c>
      <c r="K30" s="16"/>
      <c r="L30" s="51"/>
      <c r="M30" s="46" t="s">
        <v>38</v>
      </c>
      <c r="N30" s="16"/>
      <c r="O30" s="51"/>
      <c r="P30" s="46" t="s">
        <v>38</v>
      </c>
      <c r="Q30" s="16"/>
      <c r="R30" s="51"/>
      <c r="S30" s="46" t="s">
        <v>38</v>
      </c>
      <c r="T30" s="52"/>
      <c r="U30" s="53"/>
      <c r="V30" s="46" t="s">
        <v>275</v>
      </c>
      <c r="W30" s="16"/>
      <c r="X30" s="51"/>
    </row>
    <row r="31" ht="15" customHeight="1" spans="3:24">
      <c r="C31" s="38"/>
      <c r="D31" s="39" t="s">
        <v>1176</v>
      </c>
      <c r="E31" s="40" t="s">
        <v>1177</v>
      </c>
      <c r="F31" s="41" t="s">
        <v>90</v>
      </c>
      <c r="G31" s="42" t="s">
        <v>90</v>
      </c>
      <c r="H31" s="43"/>
      <c r="I31" s="44"/>
      <c r="J31" s="42" t="s">
        <v>220</v>
      </c>
      <c r="K31" s="45"/>
      <c r="L31" s="44"/>
      <c r="M31" s="46" t="s">
        <v>38</v>
      </c>
      <c r="N31" s="45"/>
      <c r="O31" s="44"/>
      <c r="P31" s="46" t="s">
        <v>38</v>
      </c>
      <c r="Q31" s="45"/>
      <c r="R31" s="44"/>
      <c r="S31" s="46" t="s">
        <v>38</v>
      </c>
      <c r="T31" s="45"/>
      <c r="U31" s="44"/>
      <c r="V31" s="42" t="s">
        <v>220</v>
      </c>
      <c r="W31" s="16"/>
      <c r="X31" s="44"/>
    </row>
    <row r="32" ht="15" customHeight="1" spans="3:24">
      <c r="C32" s="38"/>
      <c r="D32" s="47" t="s">
        <v>1178</v>
      </c>
      <c r="E32" s="48" t="s">
        <v>1179</v>
      </c>
      <c r="F32" s="49" t="s">
        <v>38</v>
      </c>
      <c r="G32" s="42" t="s">
        <v>38</v>
      </c>
      <c r="H32" s="50"/>
      <c r="I32" s="51"/>
      <c r="J32" s="42" t="s">
        <v>275</v>
      </c>
      <c r="K32" s="16"/>
      <c r="L32" s="51"/>
      <c r="M32" s="46" t="s">
        <v>38</v>
      </c>
      <c r="N32" s="16"/>
      <c r="O32" s="51"/>
      <c r="P32" s="46" t="s">
        <v>38</v>
      </c>
      <c r="Q32" s="16"/>
      <c r="R32" s="51"/>
      <c r="S32" s="46" t="s">
        <v>38</v>
      </c>
      <c r="T32" s="52"/>
      <c r="U32" s="53"/>
      <c r="V32" s="46" t="s">
        <v>275</v>
      </c>
      <c r="W32" s="16"/>
      <c r="X32" s="51"/>
    </row>
    <row r="33" ht="15" customHeight="1" spans="3:24">
      <c r="C33" s="38"/>
      <c r="D33" s="54" t="s">
        <v>1180</v>
      </c>
      <c r="E33" s="48" t="s">
        <v>1181</v>
      </c>
      <c r="F33" s="49" t="s">
        <v>90</v>
      </c>
      <c r="G33" s="42" t="s">
        <v>90</v>
      </c>
      <c r="H33" s="50"/>
      <c r="I33" s="51"/>
      <c r="J33" s="42" t="s">
        <v>220</v>
      </c>
      <c r="K33" s="16"/>
      <c r="L33" s="51"/>
      <c r="M33" s="46" t="s">
        <v>38</v>
      </c>
      <c r="N33" s="16"/>
      <c r="O33" s="51"/>
      <c r="P33" s="46" t="s">
        <v>38</v>
      </c>
      <c r="Q33" s="16"/>
      <c r="R33" s="51"/>
      <c r="S33" s="46" t="s">
        <v>38</v>
      </c>
      <c r="T33" s="52"/>
      <c r="U33" s="53"/>
      <c r="V33" s="46" t="s">
        <v>220</v>
      </c>
      <c r="W33" s="16"/>
      <c r="X33" s="51"/>
    </row>
    <row r="34" ht="15" customHeight="1" spans="3:24">
      <c r="C34" s="38"/>
      <c r="D34" s="47" t="s">
        <v>1182</v>
      </c>
      <c r="E34" s="40" t="s">
        <v>1183</v>
      </c>
      <c r="F34" s="41" t="s">
        <v>1066</v>
      </c>
      <c r="G34" s="42" t="s">
        <v>152</v>
      </c>
      <c r="H34" s="43"/>
      <c r="I34" s="44"/>
      <c r="J34" s="42" t="s">
        <v>152</v>
      </c>
      <c r="K34" s="45"/>
      <c r="L34" s="44"/>
      <c r="M34" s="46" t="s">
        <v>152</v>
      </c>
      <c r="N34" s="45"/>
      <c r="O34" s="44"/>
      <c r="P34" s="46" t="s">
        <v>152</v>
      </c>
      <c r="Q34" s="45"/>
      <c r="R34" s="44"/>
      <c r="S34" s="46" t="s">
        <v>152</v>
      </c>
      <c r="T34" s="45"/>
      <c r="U34" s="44"/>
      <c r="V34" s="42" t="s">
        <v>152</v>
      </c>
      <c r="W34" s="16"/>
      <c r="X34" s="44"/>
    </row>
    <row r="35" ht="15" customHeight="1" spans="3:24">
      <c r="C35" s="38"/>
      <c r="D35" s="54" t="s">
        <v>1184</v>
      </c>
      <c r="E35" s="48" t="s">
        <v>1185</v>
      </c>
      <c r="F35" s="49" t="s">
        <v>38</v>
      </c>
      <c r="G35" s="42" t="s">
        <v>35</v>
      </c>
      <c r="H35" s="50"/>
      <c r="I35" s="51"/>
      <c r="J35" s="42" t="s">
        <v>35</v>
      </c>
      <c r="K35" s="16"/>
      <c r="L35" s="51"/>
      <c r="M35" s="46" t="s">
        <v>35</v>
      </c>
      <c r="N35" s="16"/>
      <c r="O35" s="51"/>
      <c r="P35" s="46" t="s">
        <v>35</v>
      </c>
      <c r="Q35" s="16"/>
      <c r="R35" s="51"/>
      <c r="S35" s="46" t="s">
        <v>35</v>
      </c>
      <c r="T35" s="52"/>
      <c r="U35" s="53"/>
      <c r="V35" s="46" t="s">
        <v>35</v>
      </c>
      <c r="W35" s="16"/>
      <c r="X35" s="51"/>
    </row>
    <row r="36" ht="15" customHeight="1" spans="3:24">
      <c r="C36" s="38"/>
      <c r="D36" s="54" t="s">
        <v>1186</v>
      </c>
      <c r="E36" s="48" t="s">
        <v>1187</v>
      </c>
      <c r="F36" s="49" t="s">
        <v>38</v>
      </c>
      <c r="G36" s="42" t="s">
        <v>35</v>
      </c>
      <c r="H36" s="50"/>
      <c r="I36" s="51"/>
      <c r="J36" s="42" t="s">
        <v>35</v>
      </c>
      <c r="K36" s="16"/>
      <c r="L36" s="51"/>
      <c r="M36" s="46" t="s">
        <v>35</v>
      </c>
      <c r="N36" s="16"/>
      <c r="O36" s="51"/>
      <c r="P36" s="46" t="s">
        <v>35</v>
      </c>
      <c r="Q36" s="16"/>
      <c r="R36" s="51"/>
      <c r="S36" s="46" t="s">
        <v>35</v>
      </c>
      <c r="T36" s="52"/>
      <c r="U36" s="53"/>
      <c r="V36" s="46" t="s">
        <v>35</v>
      </c>
      <c r="W36" s="16"/>
      <c r="X36" s="51"/>
    </row>
    <row r="37" ht="15" customHeight="1" spans="3:24">
      <c r="C37" s="38"/>
      <c r="D37" s="54" t="s">
        <v>864</v>
      </c>
      <c r="E37" s="40" t="s">
        <v>865</v>
      </c>
      <c r="F37" s="41" t="s">
        <v>38</v>
      </c>
      <c r="G37" s="42" t="s">
        <v>220</v>
      </c>
      <c r="H37" s="43"/>
      <c r="I37" s="44"/>
      <c r="J37" s="42" t="s">
        <v>220</v>
      </c>
      <c r="K37" s="45"/>
      <c r="L37" s="44"/>
      <c r="M37" s="46" t="s">
        <v>220</v>
      </c>
      <c r="N37" s="45"/>
      <c r="O37" s="44"/>
      <c r="P37" s="46" t="s">
        <v>220</v>
      </c>
      <c r="Q37" s="45"/>
      <c r="R37" s="44"/>
      <c r="S37" s="46" t="s">
        <v>220</v>
      </c>
      <c r="T37" s="45"/>
      <c r="U37" s="44"/>
      <c r="V37" s="42" t="s">
        <v>220</v>
      </c>
      <c r="W37" s="16"/>
      <c r="X37" s="44"/>
    </row>
    <row r="38" ht="15" customHeight="1" spans="3:24">
      <c r="C38" s="38"/>
      <c r="D38" s="54" t="s">
        <v>1188</v>
      </c>
      <c r="E38" s="48" t="s">
        <v>1189</v>
      </c>
      <c r="F38" s="49" t="s">
        <v>35</v>
      </c>
      <c r="G38" s="42" t="s">
        <v>38</v>
      </c>
      <c r="H38" s="50"/>
      <c r="I38" s="51"/>
      <c r="J38" s="42" t="s">
        <v>38</v>
      </c>
      <c r="K38" s="16"/>
      <c r="L38" s="51"/>
      <c r="M38" s="46" t="s">
        <v>38</v>
      </c>
      <c r="N38" s="16"/>
      <c r="O38" s="51"/>
      <c r="P38" s="46" t="s">
        <v>38</v>
      </c>
      <c r="Q38" s="16"/>
      <c r="R38" s="51"/>
      <c r="S38" s="46" t="s">
        <v>38</v>
      </c>
      <c r="T38" s="52"/>
      <c r="U38" s="53"/>
      <c r="V38" s="46" t="s">
        <v>38</v>
      </c>
      <c r="W38" s="16"/>
      <c r="X38" s="51"/>
    </row>
    <row r="39" ht="15" customHeight="1" spans="3:24">
      <c r="C39" s="38"/>
      <c r="D39" s="54" t="s">
        <v>1118</v>
      </c>
      <c r="E39" s="48" t="s">
        <v>1119</v>
      </c>
      <c r="F39" s="49" t="s">
        <v>38</v>
      </c>
      <c r="G39" s="42" t="s">
        <v>35</v>
      </c>
      <c r="H39" s="50"/>
      <c r="I39" s="51"/>
      <c r="J39" s="42" t="s">
        <v>35</v>
      </c>
      <c r="K39" s="16"/>
      <c r="L39" s="51"/>
      <c r="M39" s="46" t="s">
        <v>35</v>
      </c>
      <c r="N39" s="16"/>
      <c r="O39" s="51"/>
      <c r="P39" s="46" t="s">
        <v>35</v>
      </c>
      <c r="Q39" s="16"/>
      <c r="R39" s="51"/>
      <c r="S39" s="46" t="s">
        <v>35</v>
      </c>
      <c r="T39" s="52"/>
      <c r="U39" s="53"/>
      <c r="V39" s="46" t="s">
        <v>35</v>
      </c>
      <c r="W39" s="16"/>
      <c r="X39" s="51"/>
    </row>
    <row r="40" ht="15" customHeight="1" spans="3:24">
      <c r="C40" s="38"/>
      <c r="D40" s="54" t="s">
        <v>1107</v>
      </c>
      <c r="E40" s="40" t="s">
        <v>1108</v>
      </c>
      <c r="F40" s="41" t="s">
        <v>225</v>
      </c>
      <c r="G40" s="42" t="s">
        <v>802</v>
      </c>
      <c r="H40" s="43"/>
      <c r="I40" s="44"/>
      <c r="J40" s="42" t="s">
        <v>802</v>
      </c>
      <c r="K40" s="45"/>
      <c r="L40" s="44"/>
      <c r="M40" s="46" t="s">
        <v>802</v>
      </c>
      <c r="N40" s="45"/>
      <c r="O40" s="44"/>
      <c r="P40" s="46" t="s">
        <v>802</v>
      </c>
      <c r="Q40" s="45"/>
      <c r="R40" s="44"/>
      <c r="S40" s="46" t="s">
        <v>802</v>
      </c>
      <c r="T40" s="45"/>
      <c r="U40" s="44"/>
      <c r="V40" s="42" t="s">
        <v>802</v>
      </c>
      <c r="W40" s="16"/>
      <c r="X40" s="44"/>
    </row>
    <row r="41" ht="15" customHeight="1" spans="3:24">
      <c r="C41" s="38"/>
      <c r="D41" s="54" t="s">
        <v>1109</v>
      </c>
      <c r="E41" s="48" t="s">
        <v>1110</v>
      </c>
      <c r="F41" s="49" t="s">
        <v>988</v>
      </c>
      <c r="G41" s="42" t="s">
        <v>988</v>
      </c>
      <c r="H41" s="50"/>
      <c r="I41" s="51"/>
      <c r="J41" s="42" t="s">
        <v>988</v>
      </c>
      <c r="K41" s="16"/>
      <c r="L41" s="51"/>
      <c r="M41" s="46" t="s">
        <v>988</v>
      </c>
      <c r="N41" s="16"/>
      <c r="O41" s="51"/>
      <c r="P41" s="46" t="s">
        <v>988</v>
      </c>
      <c r="Q41" s="16"/>
      <c r="R41" s="51"/>
      <c r="S41" s="46" t="s">
        <v>988</v>
      </c>
      <c r="T41" s="52"/>
      <c r="U41" s="53"/>
      <c r="V41" s="46" t="s">
        <v>988</v>
      </c>
      <c r="W41" s="16"/>
      <c r="X41" s="51"/>
    </row>
    <row r="42" ht="15" customHeight="1" spans="3:24">
      <c r="C42" s="38"/>
      <c r="D42" s="54" t="s">
        <v>1111</v>
      </c>
      <c r="E42" s="48" t="s">
        <v>1112</v>
      </c>
      <c r="F42" s="49" t="s">
        <v>1113</v>
      </c>
      <c r="G42" s="42" t="s">
        <v>467</v>
      </c>
      <c r="H42" s="50"/>
      <c r="I42" s="51"/>
      <c r="J42" s="42" t="s">
        <v>467</v>
      </c>
      <c r="K42" s="16"/>
      <c r="L42" s="51"/>
      <c r="M42" s="46" t="s">
        <v>467</v>
      </c>
      <c r="N42" s="16"/>
      <c r="O42" s="51"/>
      <c r="P42" s="46" t="s">
        <v>467</v>
      </c>
      <c r="Q42" s="16"/>
      <c r="R42" s="51"/>
      <c r="S42" s="46" t="s">
        <v>467</v>
      </c>
      <c r="T42" s="52"/>
      <c r="U42" s="53"/>
      <c r="V42" s="46" t="s">
        <v>467</v>
      </c>
      <c r="W42" s="16"/>
      <c r="X42" s="51"/>
    </row>
    <row r="43" ht="15" customHeight="1" spans="3:24">
      <c r="C43" s="38"/>
      <c r="D43" s="39" t="s">
        <v>1114</v>
      </c>
      <c r="E43" s="40" t="s">
        <v>1115</v>
      </c>
      <c r="F43" s="41" t="s">
        <v>234</v>
      </c>
      <c r="G43" s="42" t="s">
        <v>234</v>
      </c>
      <c r="H43" s="43"/>
      <c r="I43" s="44"/>
      <c r="J43" s="42" t="s">
        <v>234</v>
      </c>
      <c r="K43" s="45"/>
      <c r="L43" s="44"/>
      <c r="M43" s="46" t="s">
        <v>234</v>
      </c>
      <c r="N43" s="45"/>
      <c r="O43" s="44"/>
      <c r="P43" s="46" t="s">
        <v>234</v>
      </c>
      <c r="Q43" s="45"/>
      <c r="R43" s="44"/>
      <c r="S43" s="46" t="s">
        <v>234</v>
      </c>
      <c r="T43" s="45"/>
      <c r="U43" s="44"/>
      <c r="V43" s="42" t="s">
        <v>234</v>
      </c>
      <c r="W43" s="16"/>
      <c r="X43" s="44"/>
    </row>
    <row r="44" ht="15" customHeight="1" spans="3:24">
      <c r="C44" s="38"/>
      <c r="D44" s="47" t="s">
        <v>1116</v>
      </c>
      <c r="E44" s="48" t="s">
        <v>1117</v>
      </c>
      <c r="F44" s="49" t="s">
        <v>38</v>
      </c>
      <c r="G44" s="42" t="s">
        <v>35</v>
      </c>
      <c r="H44" s="50"/>
      <c r="I44" s="51"/>
      <c r="J44" s="42" t="s">
        <v>35</v>
      </c>
      <c r="K44" s="16"/>
      <c r="L44" s="51"/>
      <c r="M44" s="46" t="s">
        <v>35</v>
      </c>
      <c r="N44" s="16"/>
      <c r="O44" s="51"/>
      <c r="P44" s="46" t="s">
        <v>35</v>
      </c>
      <c r="Q44" s="16"/>
      <c r="R44" s="51"/>
      <c r="S44" s="46" t="s">
        <v>35</v>
      </c>
      <c r="T44" s="52"/>
      <c r="U44" s="53"/>
      <c r="V44" s="46" t="s">
        <v>35</v>
      </c>
      <c r="W44" s="16"/>
      <c r="X44" s="51"/>
    </row>
    <row r="45" ht="15" customHeight="1" spans="3:24">
      <c r="C45" s="38"/>
      <c r="D45" s="39" t="s">
        <v>1118</v>
      </c>
      <c r="E45" s="48" t="s">
        <v>1119</v>
      </c>
      <c r="F45" s="49" t="s">
        <v>38</v>
      </c>
      <c r="G45" s="42" t="s">
        <v>35</v>
      </c>
      <c r="H45" s="50"/>
      <c r="I45" s="51"/>
      <c r="J45" s="42" t="s">
        <v>35</v>
      </c>
      <c r="K45" s="16"/>
      <c r="L45" s="51"/>
      <c r="M45" s="46" t="s">
        <v>35</v>
      </c>
      <c r="N45" s="16"/>
      <c r="O45" s="51"/>
      <c r="P45" s="46" t="s">
        <v>35</v>
      </c>
      <c r="Q45" s="16"/>
      <c r="R45" s="51"/>
      <c r="S45" s="46" t="s">
        <v>35</v>
      </c>
      <c r="T45" s="52"/>
      <c r="U45" s="53"/>
      <c r="V45" s="46" t="s">
        <v>35</v>
      </c>
      <c r="W45" s="16"/>
      <c r="X45" s="51"/>
    </row>
    <row r="46" ht="15" customHeight="1" spans="3:24">
      <c r="C46" s="55"/>
      <c r="D46" s="47" t="s">
        <v>1140</v>
      </c>
      <c r="E46" s="40" t="s">
        <v>1141</v>
      </c>
      <c r="F46" s="41" t="s">
        <v>38</v>
      </c>
      <c r="G46" s="42" t="s">
        <v>35</v>
      </c>
      <c r="H46" s="43"/>
      <c r="I46" s="44"/>
      <c r="J46" s="42" t="s">
        <v>35</v>
      </c>
      <c r="K46" s="45"/>
      <c r="L46" s="44"/>
      <c r="M46" s="46" t="s">
        <v>35</v>
      </c>
      <c r="N46" s="45"/>
      <c r="O46" s="44"/>
      <c r="P46" s="46" t="s">
        <v>35</v>
      </c>
      <c r="Q46" s="45"/>
      <c r="R46" s="44"/>
      <c r="S46" s="46" t="s">
        <v>35</v>
      </c>
      <c r="T46" s="45"/>
      <c r="U46" s="44"/>
      <c r="V46" s="42" t="s">
        <v>35</v>
      </c>
      <c r="W46" s="16"/>
      <c r="X46" s="44"/>
    </row>
  </sheetData>
  <conditionalFormatting sqref="J24">
    <cfRule type="expression" dxfId="1" priority="10">
      <formula>MOD(_xleta.ROW,2)=0</formula>
    </cfRule>
    <cfRule type="expression" dxfId="1" priority="9">
      <formula>MOD(ROW(),2)=0</formula>
    </cfRule>
  </conditionalFormatting>
  <conditionalFormatting sqref="M24">
    <cfRule type="expression" dxfId="1" priority="8">
      <formula>MOD(_xleta.ROW,2)=0</formula>
    </cfRule>
    <cfRule type="expression" dxfId="1" priority="7">
      <formula>MOD(ROW(),2)=0</formula>
    </cfRule>
  </conditionalFormatting>
  <conditionalFormatting sqref="P24">
    <cfRule type="expression" dxfId="1" priority="6">
      <formula>MOD(_xleta.ROW,2)=0</formula>
    </cfRule>
    <cfRule type="expression" dxfId="1" priority="5">
      <formula>MOD(ROW(),2)=0</formula>
    </cfRule>
  </conditionalFormatting>
  <conditionalFormatting sqref="S24">
    <cfRule type="expression" dxfId="1" priority="4">
      <formula>MOD(_xleta.ROW,2)=0</formula>
    </cfRule>
    <cfRule type="expression" dxfId="1" priority="3">
      <formula>MOD(ROW(),2)=0</formula>
    </cfRule>
  </conditionalFormatting>
  <conditionalFormatting sqref="V24">
    <cfRule type="expression" dxfId="1" priority="2">
      <formula>MOD(_xleta.ROW,2)=0</formula>
    </cfRule>
    <cfRule type="expression" dxfId="1" priority="1">
      <formula>MOD(ROW(),2)=0</formula>
    </cfRule>
  </conditionalFormatting>
  <conditionalFormatting sqref="D33">
    <cfRule type="expression" dxfId="1" priority="129">
      <formula>MOD(ROW(),2)=0</formula>
    </cfRule>
    <cfRule type="expression" dxfId="1" priority="130">
      <formula>MOD(_xleta.ROW,2)=0</formula>
    </cfRule>
  </conditionalFormatting>
  <conditionalFormatting sqref="D35">
    <cfRule type="expression" dxfId="1" priority="127">
      <formula>MOD(ROW(),2)=0</formula>
    </cfRule>
    <cfRule type="expression" dxfId="1" priority="128">
      <formula>MOD(_xleta.ROW,2)=0</formula>
    </cfRule>
  </conditionalFormatting>
  <conditionalFormatting sqref="D42">
    <cfRule type="expression" dxfId="1" priority="123">
      <formula>MOD(ROW(),2)=0</formula>
    </cfRule>
    <cfRule type="expression" dxfId="1" priority="124">
      <formula>MOD(_xleta.ROW,2)=0</formula>
    </cfRule>
  </conditionalFormatting>
  <conditionalFormatting sqref="D26:D30">
    <cfRule type="expression" dxfId="1" priority="131">
      <formula>MOD(ROW(),2)=0</formula>
    </cfRule>
    <cfRule type="expression" dxfId="1" priority="132">
      <formula>MOD(_xleta.ROW,2)=0</formula>
    </cfRule>
  </conditionalFormatting>
  <conditionalFormatting sqref="D36:D41">
    <cfRule type="expression" dxfId="1" priority="125">
      <formula>MOD(ROW(),2)=0</formula>
    </cfRule>
    <cfRule type="expression" dxfId="1" priority="126">
      <formula>MOD(_xleta.ROW,2)=0</formula>
    </cfRule>
  </conditionalFormatting>
  <conditionalFormatting sqref="F16:F21">
    <cfRule type="expression" dxfId="1" priority="133">
      <formula>MOD(ROW(),2)=0</formula>
    </cfRule>
    <cfRule type="expression" dxfId="1" priority="134">
      <formula>MOD(_xleta.ROW,2)=0</formula>
    </cfRule>
  </conditionalFormatting>
  <conditionalFormatting sqref="D13:D25 D43:D46 D31:D32 D34">
    <cfRule type="expression" dxfId="1" priority="135">
      <formula>MOD(ROW(),2)=0</formula>
    </cfRule>
    <cfRule type="expression" dxfId="1" priority="136">
      <formula>MOD(_xleta.ROW,2)=0</formula>
    </cfRule>
  </conditionalFormatting>
  <conditionalFormatting sqref="E13:I15 J13:X23 K24:L24 N24:O24 Q24:R24 T24:U24 W24:X24 J25:X46">
    <cfRule type="expression" dxfId="1" priority="139">
      <formula>MOD(ROW(),2)=0</formula>
    </cfRule>
    <cfRule type="expression" dxfId="1" priority="140">
      <formula>MOD(_xleta.ROW,2)=0</formula>
    </cfRule>
  </conditionalFormatting>
  <conditionalFormatting sqref="E22:I46 E16:E21 G16:I21">
    <cfRule type="expression" dxfId="1" priority="137">
      <formula>MOD(ROW(),2)=0</formula>
    </cfRule>
    <cfRule type="expression" dxfId="1" priority="138">
      <formula>MOD(_xleta.ROW,2)=0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Version</vt:lpstr>
      <vt:lpstr>Sequence</vt:lpstr>
      <vt:lpstr>Exposure</vt:lpstr>
      <vt:lpstr>Global Setting</vt:lpstr>
      <vt:lpstr>Mode Setting 2Lane</vt:lpstr>
      <vt:lpstr>Mode Setting 1Lane</vt:lpstr>
      <vt:lpstr>TPG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陈晓苏</cp:lastModifiedBy>
  <dcterms:created xsi:type="dcterms:W3CDTF">2022-11-02T02:49:00Z</dcterms:created>
  <dcterms:modified xsi:type="dcterms:W3CDTF">2026-06-23T12:50:59Z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14A0D12D14254590AC3E5A5777B5666D_12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